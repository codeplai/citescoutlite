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stos-IA" sheetId="2" state="visible" r:id="rId2"/>
    <sheet xmlns:r="http://schemas.openxmlformats.org/officeDocument/2006/relationships" name="Suscripciones" sheetId="3" state="visible" r:id="rId3"/>
    <sheet xmlns:r="http://schemas.openxmlformats.org/officeDocument/2006/relationships" name="Infraestructura" sheetId="4" state="visible" r:id="rId4"/>
    <sheet xmlns:r="http://schemas.openxmlformats.org/officeDocument/2006/relationships" name="MongoDB-OFF" sheetId="5" state="visible" r:id="rId5"/>
    <sheet xmlns:r="http://schemas.openxmlformats.org/officeDocument/2006/relationships" name="Precios-Huawei" sheetId="6" state="visible" r:id="rId6"/>
    <sheet xmlns:r="http://schemas.openxmlformats.org/officeDocument/2006/relationships" name="Escenarios" sheetId="7" state="visible" r:id="rId7"/>
    <sheet xmlns:r="http://schemas.openxmlformats.org/officeDocument/2006/relationships" name="Parametros" sheetId="8" state="visible" r:id="rId8"/>
    <sheet xmlns:r="http://schemas.openxmlformats.org/officeDocument/2006/relationships" name="Leeme" sheetId="9" state="visible" r:id="rId9"/>
  </sheets>
  <definedNames/>
  <calcPr calcId="124519" fullCalcOnLoad="1"/>
</workbook>
</file>

<file path=xl/styles.xml><?xml version="1.0" encoding="utf-8"?>
<styleSheet xmlns="http://schemas.openxmlformats.org/spreadsheetml/2006/main">
  <numFmts count="6">
    <numFmt numFmtId="164" formatCode="&quot;US$ &quot;#,##0.00"/>
    <numFmt numFmtId="165" formatCode="&quot;S/ &quot;#,##0.00"/>
    <numFmt numFmtId="166" formatCode="0.0%"/>
    <numFmt numFmtId="167" formatCode="&quot;US$ &quot;#,##0.000000"/>
    <numFmt numFmtId="168" formatCode="&quot;US$ &quot;#,##0.0000"/>
    <numFmt numFmtId="169" formatCode="#,##0.0"/>
  </numFmts>
  <fonts count="8">
    <font>
      <name val="Calibri"/>
      <family val="2"/>
      <color theme="1"/>
      <sz val="11"/>
      <scheme val="minor"/>
    </font>
    <font>
      <b val="1"/>
      <color rgb="001F3864"/>
      <sz val="16"/>
    </font>
    <font>
      <i val="1"/>
      <color rgb="00595959"/>
      <sz val="10"/>
    </font>
    <font>
      <b val="1"/>
      <color rgb="00FFFFFF"/>
      <sz val="10"/>
    </font>
    <font>
      <sz val="10"/>
    </font>
    <font>
      <b val="1"/>
      <sz val="10"/>
    </font>
    <font>
      <b val="1"/>
      <color rgb="001F3864"/>
      <sz val="11"/>
    </font>
    <font>
      <color rgb="00404040"/>
      <sz val="9"/>
    </font>
  </fonts>
  <fills count="8">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D7D7"/>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xf>
    <xf numFmtId="164" fontId="4" fillId="0" borderId="1" applyAlignment="1" pivotButton="0" quotePrefix="0" xfId="0">
      <alignment vertical="top"/>
    </xf>
    <xf numFmtId="0" fontId="4"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0" fontId="5" fillId="0" borderId="1" applyAlignment="1" pivotButton="0" quotePrefix="0" xfId="0">
      <alignment vertical="top"/>
    </xf>
    <xf numFmtId="165" fontId="5" fillId="0" borderId="1" applyAlignment="1" pivotButton="0" quotePrefix="0" xfId="0">
      <alignment vertical="top"/>
    </xf>
    <xf numFmtId="164" fontId="5" fillId="0" borderId="1" applyAlignment="1" pivotButton="0" quotePrefix="0" xfId="0">
      <alignment vertical="top"/>
    </xf>
    <xf numFmtId="0" fontId="6" fillId="0" borderId="0" pivotButton="0" quotePrefix="0" xfId="0"/>
    <xf numFmtId="0" fontId="7" fillId="0" borderId="0" applyAlignment="1" pivotButton="0" quotePrefix="0" xfId="0">
      <alignment vertical="top" wrapText="1"/>
    </xf>
    <xf numFmtId="0" fontId="4" fillId="4" borderId="0" pivotButton="0" quotePrefix="0" xfId="0"/>
    <xf numFmtId="0" fontId="4" fillId="5" borderId="0" pivotButton="0" quotePrefix="0" xfId="0"/>
    <xf numFmtId="0" fontId="4" fillId="3" borderId="0" pivotButton="0" quotePrefix="0" xfId="0"/>
    <xf numFmtId="0" fontId="4" fillId="6" borderId="0" pivotButton="0" quotePrefix="0" xfId="0"/>
    <xf numFmtId="167" fontId="4" fillId="4" borderId="1" applyAlignment="1" pivotButton="0" quotePrefix="0" xfId="0">
      <alignment vertical="top"/>
    </xf>
    <xf numFmtId="0" fontId="4" fillId="6" borderId="1" applyAlignment="1" pivotButton="0" quotePrefix="0" xfId="0">
      <alignment vertical="top"/>
    </xf>
    <xf numFmtId="3" fontId="4" fillId="5" borderId="1" applyAlignment="1" pivotButton="0" quotePrefix="0" xfId="0">
      <alignment vertical="top"/>
    </xf>
    <xf numFmtId="167" fontId="4" fillId="0" borderId="1" applyAlignment="1" pivotButton="0" quotePrefix="0" xfId="0">
      <alignment vertical="top"/>
    </xf>
    <xf numFmtId="168" fontId="4" fillId="3" borderId="1" applyAlignment="1" pivotButton="0" quotePrefix="0" xfId="0">
      <alignment vertical="top"/>
    </xf>
    <xf numFmtId="169" fontId="4" fillId="0" borderId="1" applyAlignment="1" pivotButton="0" quotePrefix="0" xfId="0">
      <alignment vertical="top"/>
    </xf>
    <xf numFmtId="3" fontId="4" fillId="4" borderId="1" applyAlignment="1" pivotButton="0" quotePrefix="0" xfId="0">
      <alignment vertical="top"/>
    </xf>
    <xf numFmtId="3" fontId="5" fillId="0" borderId="1" applyAlignment="1" pivotButton="0" quotePrefix="0" xfId="0">
      <alignment vertical="top"/>
    </xf>
    <xf numFmtId="168" fontId="5" fillId="3" borderId="1" applyAlignment="1" pivotButton="0" quotePrefix="0" xfId="0">
      <alignment vertical="top"/>
    </xf>
    <xf numFmtId="169" fontId="5" fillId="0" borderId="1" applyAlignment="1" pivotButton="0" quotePrefix="0" xfId="0">
      <alignment vertical="top"/>
    </xf>
    <xf numFmtId="0" fontId="5" fillId="0" borderId="1" applyAlignment="1" pivotButton="0" quotePrefix="0" xfId="0">
      <alignment vertical="top" wrapText="1"/>
    </xf>
    <xf numFmtId="3" fontId="4" fillId="0" borderId="1" applyAlignment="1" pivotButton="0" quotePrefix="0" xfId="0">
      <alignment vertical="top"/>
    </xf>
    <xf numFmtId="0" fontId="4" fillId="5" borderId="1" applyAlignment="1" pivotButton="0" quotePrefix="0" xfId="0">
      <alignment vertical="top"/>
    </xf>
    <xf numFmtId="168" fontId="4" fillId="0" borderId="1" applyAlignment="1" pivotButton="0" quotePrefix="0" xfId="0">
      <alignment vertical="top"/>
    </xf>
    <xf numFmtId="164" fontId="4" fillId="4" borderId="1" applyAlignment="1" pivotButton="0" quotePrefix="0" xfId="0">
      <alignment vertical="top"/>
    </xf>
    <xf numFmtId="0" fontId="7" fillId="6" borderId="0" applyAlignment="1" pivotButton="0" quotePrefix="0" xfId="0">
      <alignment vertical="top" wrapText="1"/>
    </xf>
    <xf numFmtId="0" fontId="4" fillId="7" borderId="1" applyAlignment="1" pivotButton="0" quotePrefix="0" xfId="0">
      <alignment vertical="top"/>
    </xf>
    <xf numFmtId="168" fontId="4" fillId="4" borderId="1" applyAlignment="1" pivotButton="0" quotePrefix="0" xfId="0">
      <alignment vertical="top"/>
    </xf>
    <xf numFmtId="164" fontId="4" fillId="3" borderId="1" applyAlignment="1" pivotButton="0" quotePrefix="0" xfId="0">
      <alignment vertical="top"/>
    </xf>
    <xf numFmtId="4" fontId="4" fillId="0" borderId="1" applyAlignment="1" pivotButton="0" quotePrefix="0" xfId="0">
      <alignment vertical="top"/>
    </xf>
    <xf numFmtId="4" fontId="4" fillId="5" borderId="1" applyAlignment="1" pivotButton="0" quotePrefix="0" xfId="0">
      <alignment vertical="top"/>
    </xf>
    <xf numFmtId="166" fontId="4" fillId="5" borderId="1" applyAlignment="1" pivotButton="0" quotePrefix="0" xfId="0">
      <alignment vertical="top"/>
    </xf>
    <xf numFmtId="169" fontId="4" fillId="3" borderId="1" applyAlignment="1" pivotButton="0" quotePrefix="0" xfId="0">
      <alignment vertical="top"/>
    </xf>
    <xf numFmtId="4" fontId="4" fillId="3" borderId="1" applyAlignment="1" pivotButton="0" quotePrefix="0" xfId="0">
      <alignment vertical="top"/>
    </xf>
    <xf numFmtId="169" fontId="5" fillId="3" borderId="1" applyAlignment="1" pivotButton="0" quotePrefix="0" xfId="0">
      <alignment vertical="top"/>
    </xf>
    <xf numFmtId="4" fontId="4" fillId="4" borderId="1" applyAlignment="1" pivotButton="0" quotePrefix="0" xfId="0">
      <alignment vertical="top"/>
    </xf>
    <xf numFmtId="4" fontId="5" fillId="3" borderId="1" applyAlignment="1" pivotButton="0" quotePrefix="0" xfId="0">
      <alignment vertical="top"/>
    </xf>
    <xf numFmtId="169" fontId="4" fillId="5" borderId="1" applyAlignment="1" pivotButton="0" quotePrefix="0" xfId="0">
      <alignment vertical="top"/>
    </xf>
    <xf numFmtId="166" fontId="4" fillId="0" borderId="1" applyAlignment="1" pivotButton="0" quotePrefix="0" xfId="0">
      <alignment vertical="top"/>
    </xf>
    <xf numFmtId="0" fontId="7" fillId="5" borderId="0" applyAlignment="1" pivotButton="0" quotePrefix="0" xfId="0">
      <alignment vertical="top" wrapText="1"/>
    </xf>
    <xf numFmtId="0" fontId="4" fillId="6" borderId="1" applyAlignment="1" pivotButton="0" quotePrefix="0" xfId="0">
      <alignment vertical="top" wrapText="1"/>
    </xf>
    <xf numFmtId="0" fontId="5" fillId="4" borderId="1" applyAlignment="1" pivotButton="0" quotePrefix="0" xfId="0">
      <alignment vertical="top"/>
    </xf>
    <xf numFmtId="0" fontId="4" fillId="4" borderId="1" applyAlignment="1" pivotButton="0" quotePrefix="0" xfId="0">
      <alignment vertical="top"/>
    </xf>
    <xf numFmtId="166" fontId="4" fillId="4" borderId="1"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74" customWidth="1" min="5" max="5"/>
  </cols>
  <sheetData>
    <row r="1">
      <c r="A1" s="1" t="inlineStr">
        <is>
          <t>Presupuesto de IA, infraestructura y datos</t>
        </is>
      </c>
    </row>
    <row r="2">
      <c r="A2" s="2" t="inlineStr">
        <is>
          <t>AgroScout IA · CITEagroindustrial Chavimochic · Huawei Cloud LA-Santiago · elaborado 2026-08-14</t>
        </is>
      </c>
    </row>
    <row r="4" ht="30" customHeight="1">
      <c r="A4" s="3" t="inlineStr">
        <is>
          <t>Bloque</t>
        </is>
      </c>
      <c r="B4" s="3" t="inlineStr">
        <is>
          <t>Mínimo (US$)</t>
        </is>
      </c>
      <c r="C4" s="3" t="inlineStr">
        <is>
          <t>Esperado (US$)</t>
        </is>
      </c>
      <c r="D4" s="3" t="inlineStr">
        <is>
          <t>Máximo (US$)</t>
        </is>
      </c>
      <c r="E4" s="3" t="inlineStr">
        <is>
          <t>Qué hay detrás</t>
        </is>
      </c>
    </row>
    <row r="5">
      <c r="A5" s="4" t="inlineStr">
        <is>
          <t>Consumo de IA — ModelArts MaaS</t>
        </is>
      </c>
      <c r="B5" s="5">
        <f>'Costos-IA'!$D$32</f>
        <v/>
      </c>
      <c r="C5" s="5">
        <f>'Costos-IA'!$E$32</f>
        <v/>
      </c>
      <c r="D5" s="5">
        <f>'Costos-IA'!$F$32</f>
        <v/>
      </c>
      <c r="E5" s="6" t="inlineStr">
        <is>
          <t>Coste por etapa MEDIDO en etapas_ejecucion. Tres de las cinco etapas corren sobre glm-5.2, que es el modelo caro.</t>
        </is>
      </c>
    </row>
    <row r="6">
      <c r="A6" s="4" t="inlineStr">
        <is>
          <t>Suscripciones de terceros</t>
        </is>
      </c>
      <c r="B6" s="5">
        <f>Suscripciones!$F$17</f>
        <v/>
      </c>
      <c r="C6" s="5">
        <f>Suscripciones!$G$17</f>
        <v/>
      </c>
      <c r="D6" s="5">
        <f>Suscripciones!$H$17</f>
        <v/>
      </c>
      <c r="E6" s="6" t="inlineStr">
        <is>
          <t>Lo que hoy está contratado o con clave activa en .env. Casi todo está en plan gratuito.</t>
        </is>
      </c>
    </row>
    <row r="7">
      <c r="A7" s="4" t="inlineStr">
        <is>
          <t>Infraestructura Huawei (sin MongoDB)</t>
        </is>
      </c>
      <c r="B7" s="5">
        <f>Infraestructura!$J$31</f>
        <v/>
      </c>
      <c r="C7" s="5">
        <f>Infraestructura!$K$31</f>
        <v/>
      </c>
      <c r="D7" s="5">
        <f>Infraestructura!$L$31</f>
        <v/>
      </c>
      <c r="E7" s="6" t="inlineStr">
        <is>
          <t>ECS 4 vCPU/8 GB, RDS PostgreSQL nodo único, EVS 100 GB, OBS, EIP, CBR, LTS y CES.</t>
        </is>
      </c>
    </row>
    <row r="8">
      <c r="A8" s="4" t="inlineStr">
        <is>
          <t>MongoDB para Open Food Facts</t>
        </is>
      </c>
      <c r="B8" s="5">
        <f>'MongoDB-OFF'!$D$89</f>
        <v/>
      </c>
      <c r="C8" s="5">
        <f>'MongoDB-OFF'!$E$89</f>
        <v/>
      </c>
      <c r="D8" s="5">
        <f>'MongoDB-OFF'!$F$89</f>
        <v/>
      </c>
      <c r="E8" s="6" t="inlineStr">
        <is>
          <t>Opción seleccionada en la hoja MongoDB-OFF (celda B93). Es la pieza más cara del añadido.</t>
        </is>
      </c>
    </row>
    <row r="10">
      <c r="A10" s="7" t="inlineStr">
        <is>
          <t>TOTAL MENSUAL (US$)</t>
        </is>
      </c>
      <c r="B10" s="8">
        <f>SUM(B5:B8)</f>
        <v/>
      </c>
      <c r="C10" s="8">
        <f>SUM(C5:C8)</f>
        <v/>
      </c>
      <c r="D10" s="8">
        <f>SUM(D5:D8)</f>
        <v/>
      </c>
    </row>
    <row r="11">
      <c r="A11" s="9" t="inlineStr">
        <is>
          <t>TOTAL MENSUAL (S/)</t>
        </is>
      </c>
      <c r="B11" s="10">
        <f>B10*Parametros!$B$8</f>
        <v/>
      </c>
      <c r="C11" s="10">
        <f>C10*Parametros!$B$8</f>
        <v/>
      </c>
      <c r="D11" s="10">
        <f>D10*Parametros!$B$8</f>
        <v/>
      </c>
    </row>
    <row r="12">
      <c r="A12" s="9" t="inlineStr">
        <is>
          <t>TOTAL ANUAL (US$)</t>
        </is>
      </c>
      <c r="B12" s="11">
        <f>B10*12</f>
        <v/>
      </c>
      <c r="C12" s="11">
        <f>C10*12</f>
        <v/>
      </c>
      <c r="D12" s="11">
        <f>D10*12</f>
        <v/>
      </c>
    </row>
    <row r="13">
      <c r="A13" s="9" t="inlineStr">
        <is>
          <t>TOTAL ANUAL con compromiso anual (US$)</t>
        </is>
      </c>
      <c r="B13" s="11">
        <f>B10*12*(1-Parametros!$B$10)</f>
        <v/>
      </c>
      <c r="C13" s="11">
        <f>C10*12*(1-Parametros!$B$10)</f>
        <v/>
      </c>
      <c r="D13" s="11">
        <f>D10*12*(1-Parametros!$B$10)</f>
        <v/>
      </c>
    </row>
    <row r="15">
      <c r="A15" s="12" t="inlineStr">
        <is>
          <t>Las cinco cosas que hay que saber antes de leer las cifras</t>
        </is>
      </c>
    </row>
    <row r="16" ht="46" customHeight="1">
      <c r="A16" s="13" t="inlineStr">
        <is>
          <t>1. El coste de IA está MEDIDO, no estimado. En etapas_ejecucion hay llamadas reales con su recuento de tokens: la etapa 3 (InsightMercado) consume 6.377 tokens de entrada y 2.004 de salida sobre glm-5.2, y eso son US$ 0,1039 en una sola etapa. Las tarifas salen de config/tarifas_llm.json.</t>
        </is>
      </c>
    </row>
    <row r="17" ht="46" customHeight="1">
      <c r="A17" s="13" t="inlineStr">
        <is>
          <t>2. La etapa 3 se llevó el 50 % de la factura de IA por un accidente, no por diseño. El plan la había puesto en glm-5.0 (11× más barato), pero ModelArts responde 404 'Invalid model' a glm-5.0 y glm-4.7 (adaptadores/redactor_glm.py:24-27), así que quedó en glm-5.2. Es la palanca de ahorro más grande del proyecto: la hoja Costos-IA la cuantifica.</t>
        </is>
      </c>
    </row>
    <row r="18" ht="46" customHeight="1">
      <c r="A18" s="13" t="inlineStr">
        <is>
          <t>3. El plan gratuito NO es barato. Con la etapa 3 en glm-5.2, un run 'gratuito' cuesta US$ 0,104: el tope de US$ 2/mes por usuario gratuito son 19 consultas, no las que se supuso al escribirlo.</t>
        </is>
      </c>
    </row>
    <row r="19" ht="46" customHeight="1">
      <c r="A19" s="13" t="inlineStr">
        <is>
          <t>4. MongoDB con Open Food Facts entero es una máquina distinta, no un contenedor más. El volcado son 14,4 GiB comprimidos y 4.680.925 productos MEDIDOS el 2026-08-14; en disco son ~27 GB y el working set no cabe en el ECS de 8 GB que ya está ocupado por bge-m3. La hoja MongoDB-OFF costea las tres salidas.</t>
        </is>
      </c>
    </row>
    <row r="20" ht="46" customHeight="1">
      <c r="A20" s="13" t="inlineStr">
        <is>
          <t>5. Los precios de Huawei son ENTRADAS, no hechos. Huawei no publica tarifas en HTML: viven dentro de su calculador JavaScript. Cada precio es una celda amarilla con rango; la hoja Precios-Huawei dice cómo verificar cada uno en minutos y todo el libro se recalcula solo.</t>
        </is>
      </c>
    </row>
    <row r="22">
      <c r="A22" s="12" t="inlineStr">
        <is>
          <t>Código de colores</t>
        </is>
      </c>
    </row>
    <row r="23">
      <c r="A23" s="14" t="inlineStr">
        <is>
          <t>Amarillo — celda de entrada: la edita usted con el dato del calculador o del contrato.</t>
        </is>
      </c>
    </row>
    <row r="24">
      <c r="A24" s="15" t="inlineStr">
        <is>
          <t>Verde — dato MEDIDO en este proyecto o contra la fuente real. No es una estimación.</t>
        </is>
      </c>
    </row>
    <row r="25">
      <c r="A25" s="16" t="inlineStr">
        <is>
          <t>Naranja — total calculado. Son fórmulas: no escribir encima.</t>
        </is>
      </c>
    </row>
    <row r="26">
      <c r="A26" s="17" t="inlineStr">
        <is>
          <t>Rojo — hallazgo o alerta: algo que hay que decidir, no solo leer.</t>
        </is>
      </c>
    </row>
  </sheetData>
  <mergeCells count="9">
    <mergeCell ref="A20:E20"/>
    <mergeCell ref="A24:E24"/>
    <mergeCell ref="A16:E16"/>
    <mergeCell ref="A26:E26"/>
    <mergeCell ref="A25:E25"/>
    <mergeCell ref="A19:E19"/>
    <mergeCell ref="A23:E23"/>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22" customWidth="1" min="3" max="3"/>
    <col width="11" customWidth="1" min="4" max="4"/>
    <col width="11" customWidth="1" min="5" max="5"/>
    <col width="13" customWidth="1" min="6" max="6"/>
    <col width="13" customWidth="1" min="7" max="7"/>
    <col width="13" customWidth="1" min="8" max="8"/>
    <col width="13" customWidth="1" min="9" max="9"/>
    <col width="62" customWidth="1" min="10" max="10"/>
  </cols>
  <sheetData>
    <row r="1">
      <c r="A1" s="1" t="inlineStr">
        <is>
          <t>Costo promedio de IA — ModelArts MaaS (Huawei)</t>
        </is>
      </c>
    </row>
    <row r="2">
      <c r="A2" s="2" t="inlineStr">
        <is>
          <t>Tokens y coste por etapa MEDIDOS en etapas_ejecucion (agroscout.db, 306 filas). Tarifas de config/tarifas_llm.json.</t>
        </is>
      </c>
    </row>
    <row r="4">
      <c r="A4" s="12" t="inlineStr">
        <is>
          <t>A · TARIFAS DE MODELO — ModelArts MaaS, región ap-southeast-1 (Singapur)</t>
        </is>
      </c>
    </row>
    <row r="5" ht="30" customHeight="1">
      <c r="A5" s="3" t="inlineStr"/>
      <c r="B5" s="3" t="inlineStr">
        <is>
          <t>Modelo</t>
        </is>
      </c>
      <c r="C5" s="3" t="inlineStr">
        <is>
          <t>Estado en MaaS</t>
        </is>
      </c>
      <c r="D5" s="3" t="inlineStr">
        <is>
          <t>US$/1k entrada</t>
        </is>
      </c>
      <c r="E5" s="3" t="inlineStr">
        <is>
          <t>US$/1k salida</t>
        </is>
      </c>
      <c r="F5" s="3" t="inlineStr"/>
      <c r="G5" s="3" t="inlineStr"/>
      <c r="H5" s="3" t="inlineStr"/>
      <c r="I5" s="3" t="inlineStr"/>
      <c r="J5" s="3" t="inlineStr">
        <is>
          <t>Origen y observación</t>
        </is>
      </c>
    </row>
    <row r="6">
      <c r="A6" s="4" t="inlineStr"/>
      <c r="B6" s="4" t="inlineStr">
        <is>
          <t>deepseek-v4-flash</t>
        </is>
      </c>
      <c r="C6" s="4" t="inlineStr">
        <is>
          <t>En uso · etapas 1 y 2a</t>
        </is>
      </c>
      <c r="D6" s="18" t="n">
        <v>0.000135</v>
      </c>
      <c r="E6" s="18" t="n">
        <v>0.000539</v>
      </c>
      <c r="J6" s="6" t="inlineStr">
        <is>
          <t>config/tarifas_llm.json. El modelo económico: 74× más barato en entrada que glm-5.2.</t>
        </is>
      </c>
    </row>
    <row r="7">
      <c r="A7" s="4" t="inlineStr"/>
      <c r="B7" s="4" t="inlineStr">
        <is>
          <t>glm-5.2</t>
        </is>
      </c>
      <c r="C7" s="4" t="inlineStr">
        <is>
          <t>En uso · etapas 3, 4 y 5</t>
        </is>
      </c>
      <c r="D7" s="18" t="n">
        <v>0.01</v>
      </c>
      <c r="E7" s="18" t="n">
        <v>0.02</v>
      </c>
      <c r="J7" s="6" t="inlineStr">
        <is>
          <t>config/tarifas_llm.json. Modelo insignia. Es el que se lleva la factura.</t>
        </is>
      </c>
    </row>
    <row r="8">
      <c r="A8" s="4" t="inlineStr"/>
      <c r="B8" s="4" t="inlineStr">
        <is>
          <t>glm-5.0</t>
        </is>
      </c>
      <c r="C8" s="19" t="inlineStr">
        <is>
          <t>NO DISPONIBLE (404)</t>
        </is>
      </c>
      <c r="D8" s="18" t="n">
        <v>0.000539</v>
      </c>
      <c r="E8" s="18" t="n">
        <v>0.002965</v>
      </c>
      <c r="J8" s="6" t="inlineStr">
        <is>
          <t>El plan puso aquí la etapa 3. ModelArts responde 'ModelArts.81009 Invalid model' (adaptadores/redactor_glm.py:24-27). La tarifa está en el repo pero el modelo no se puede llamar.</t>
        </is>
      </c>
    </row>
    <row r="9">
      <c r="A9" s="4" t="inlineStr"/>
      <c r="B9" s="4" t="inlineStr">
        <is>
          <t>glm-4.7</t>
        </is>
      </c>
      <c r="C9" s="19" t="inlineStr">
        <is>
          <t>NO DISPONIBLE (404)</t>
        </is>
      </c>
      <c r="D9" s="18" t="n">
        <v>0.003</v>
      </c>
      <c r="E9" s="18" t="n">
        <v>0.006</v>
      </c>
      <c r="J9" s="6" t="inlineStr">
        <is>
          <t>Mismo caso. Deprecado en el proyecto.</t>
        </is>
      </c>
    </row>
    <row r="11">
      <c r="A11" s="12" t="inlineStr">
        <is>
          <t>B · COSTO POR ETAPA — el DAG de una consulta</t>
        </is>
      </c>
    </row>
    <row r="12" ht="30" customHeight="1">
      <c r="A12" s="3" t="inlineStr">
        <is>
          <t>Etapa</t>
        </is>
      </c>
      <c r="B12" s="3" t="inlineStr">
        <is>
          <t>Qué hace</t>
        </is>
      </c>
      <c r="C12" s="3" t="inlineStr">
        <is>
          <t>Modelo</t>
        </is>
      </c>
      <c r="D12" s="3" t="inlineStr">
        <is>
          <t>Tokens ent.</t>
        </is>
      </c>
      <c r="E12" s="3" t="inlineStr">
        <is>
          <t>Tokens sal.</t>
        </is>
      </c>
      <c r="F12" s="3" t="inlineStr">
        <is>
          <t>US$/1k ent.</t>
        </is>
      </c>
      <c r="G12" s="3" t="inlineStr">
        <is>
          <t>US$/1k sal.</t>
        </is>
      </c>
      <c r="H12" s="3" t="inlineStr">
        <is>
          <t>Costo/llamada</t>
        </is>
      </c>
      <c r="I12" s="3" t="inlineStr">
        <is>
          <t>Latencia (s)</t>
        </is>
      </c>
      <c r="J12" s="3" t="inlineStr">
        <is>
          <t>Origen del dato</t>
        </is>
      </c>
    </row>
    <row r="13">
      <c r="A13" s="4" t="inlineStr">
        <is>
          <t>1</t>
        </is>
      </c>
      <c r="B13" s="4" t="inlineStr">
        <is>
          <t>InterpretarInsumo</t>
        </is>
      </c>
      <c r="C13" s="4" t="inlineStr">
        <is>
          <t>deepseek-v4-flash</t>
        </is>
      </c>
      <c r="D13" s="20" t="n">
        <v>606</v>
      </c>
      <c r="E13" s="20" t="n">
        <v>548</v>
      </c>
      <c r="F13" s="21">
        <f>$D$6</f>
        <v/>
      </c>
      <c r="G13" s="21">
        <f>$E$6</f>
        <v/>
      </c>
      <c r="H13" s="22">
        <f>D13/1000*F13+E13/1000*G13</f>
        <v/>
      </c>
      <c r="I13" s="23" t="n">
        <v>34.2</v>
      </c>
      <c r="J13" s="6" t="inlineStr">
        <is>
          <t>MEDIDO: llamada en frío real en etapas_ejecucion (n=2). Traduce el término en español e identifica la materia prima.</t>
        </is>
      </c>
    </row>
    <row r="14">
      <c r="A14" s="4" t="inlineStr">
        <is>
          <t>2a</t>
        </is>
      </c>
      <c r="B14" s="4" t="inlineStr">
        <is>
          <t>MatchProductos</t>
        </is>
      </c>
      <c r="C14" s="4" t="inlineStr">
        <is>
          <t>deepseek-v4-flash</t>
        </is>
      </c>
      <c r="D14" s="24" t="n">
        <v>600</v>
      </c>
      <c r="E14" s="24" t="n">
        <v>400</v>
      </c>
      <c r="F14" s="21">
        <f>$D$6</f>
        <v/>
      </c>
      <c r="G14" s="21">
        <f>$E$6</f>
        <v/>
      </c>
      <c r="H14" s="22">
        <f>D14/1000*F14+E14/1000*G14</f>
        <v/>
      </c>
      <c r="I14" s="23" t="n">
        <v>15.5</v>
      </c>
      <c r="J14" s="6" t="inlineStr">
        <is>
          <t>ESTIMADO sobre el mismo modelo y un prompt equivalente. Las filas medidas de 2a no llevan tokens: el emparejamiento resuelto por búsqueda vectorial no llama al modelo.</t>
        </is>
      </c>
    </row>
    <row r="15">
      <c r="A15" s="4" t="inlineStr">
        <is>
          <t>2b</t>
        </is>
      </c>
      <c r="B15" s="4" t="inlineStr">
        <is>
          <t>MapaComercial</t>
        </is>
      </c>
      <c r="C15" s="4" t="inlineStr">
        <is>
          <t>— sin LLM —</t>
        </is>
      </c>
      <c r="D15" s="20" t="n">
        <v>0</v>
      </c>
      <c r="E15" s="20" t="n">
        <v>0</v>
      </c>
      <c r="F15" s="21" t="n">
        <v>0</v>
      </c>
      <c r="G15" s="21" t="n">
        <v>0</v>
      </c>
      <c r="H15" s="22" t="n">
        <v>0</v>
      </c>
      <c r="I15" s="23" t="n">
        <v>0.2</v>
      </c>
      <c r="J15" s="6" t="inlineStr">
        <is>
          <t>MEDIDO: 0,21 s y cero tokens. casos_de_uso/etapas/mapear_comercio.py no llama a ningún modelo; el 'modelo' que registra es una etiqueta heredada del ejecutor.</t>
        </is>
      </c>
    </row>
    <row r="16">
      <c r="A16" s="4" t="inlineStr">
        <is>
          <t>3</t>
        </is>
      </c>
      <c r="B16" s="4" t="inlineStr">
        <is>
          <t>InsightMercado</t>
        </is>
      </c>
      <c r="C16" s="4" t="inlineStr">
        <is>
          <t>glm-5.2</t>
        </is>
      </c>
      <c r="D16" s="20" t="n">
        <v>6377</v>
      </c>
      <c r="E16" s="20" t="n">
        <v>2004</v>
      </c>
      <c r="F16" s="21">
        <f>$D$7</f>
        <v/>
      </c>
      <c r="G16" s="21">
        <f>$E$7</f>
        <v/>
      </c>
      <c r="H16" s="22">
        <f>D16/1000*F16+E16/1000*G16</f>
        <v/>
      </c>
      <c r="I16" s="23" t="n">
        <v>123.2</v>
      </c>
      <c r="J16" s="6" t="inlineStr">
        <is>
          <t>MEDIDO: llamada en frío real (n=2). Recibe los 30 productos con sus ingredientes: por eso son 6.377 tokens de entrada. ES LA ETAPA MÁS CARA DEL SISTEMA.</t>
        </is>
      </c>
    </row>
    <row r="17">
      <c r="A17" s="4" t="inlineStr">
        <is>
          <t>4</t>
        </is>
      </c>
      <c r="B17" s="4" t="inlineStr">
        <is>
          <t>Formulación (premium)</t>
        </is>
      </c>
      <c r="C17" s="4" t="inlineStr">
        <is>
          <t>glm-5.2</t>
        </is>
      </c>
      <c r="D17" s="24" t="n">
        <v>2500</v>
      </c>
      <c r="E17" s="24" t="n">
        <v>1200</v>
      </c>
      <c r="F17" s="21">
        <f>$D$7</f>
        <v/>
      </c>
      <c r="G17" s="21">
        <f>$E$7</f>
        <v/>
      </c>
      <c r="H17" s="22">
        <f>D17/1000*F17+E17/1000*G17</f>
        <v/>
      </c>
      <c r="I17" s="23" t="n">
        <v>30</v>
      </c>
      <c r="J17" s="6" t="inlineStr">
        <is>
          <t>ESTIMADO: aún no hay filas en frío de la etapa separada. Calibrado para que el total premium caiga dentro del rango MEDIDO de US$ 0,19-0,23 anotado en .env.example.</t>
        </is>
      </c>
    </row>
    <row r="18">
      <c r="A18" s="4" t="inlineStr">
        <is>
          <t>5</t>
        </is>
      </c>
      <c r="B18" s="4" t="inlineStr">
        <is>
          <t>Regulación (premium)</t>
        </is>
      </c>
      <c r="C18" s="4" t="inlineStr">
        <is>
          <t>glm-5.2</t>
        </is>
      </c>
      <c r="D18" s="24" t="n">
        <v>3000</v>
      </c>
      <c r="E18" s="24" t="n">
        <v>1400</v>
      </c>
      <c r="F18" s="21">
        <f>$D$7</f>
        <v/>
      </c>
      <c r="G18" s="21">
        <f>$E$7</f>
        <v/>
      </c>
      <c r="H18" s="22">
        <f>D18/1000*F18+E18/1000*G18</f>
        <v/>
      </c>
      <c r="I18" s="23" t="n">
        <v>35</v>
      </c>
      <c r="J18" s="6" t="inlineStr">
        <is>
          <t>ESTIMADO: incluye el contexto del corpus regulatorio (eCFR + DIGESA). Misma calibración que la etapa 4.</t>
        </is>
      </c>
    </row>
    <row r="19">
      <c r="A19" s="4" t="inlineStr">
        <is>
          <t>6</t>
        </is>
      </c>
      <c r="B19" s="4" t="inlineStr">
        <is>
          <t>Informe PDF</t>
        </is>
      </c>
      <c r="C19" s="4" t="inlineStr">
        <is>
          <t>— sin LLM —</t>
        </is>
      </c>
      <c r="D19" s="20" t="n">
        <v>0</v>
      </c>
      <c r="E19" s="20" t="n">
        <v>0</v>
      </c>
      <c r="F19" s="21" t="n">
        <v>0</v>
      </c>
      <c r="G19" s="21" t="n">
        <v>0</v>
      </c>
      <c r="H19" s="22" t="n">
        <v>0</v>
      </c>
      <c r="I19" s="23" t="n">
        <v>3</v>
      </c>
      <c r="J19" s="6" t="inlineStr">
        <is>
          <t>MEDIDO: WeasyPrint/xhtml2pdf. Cero tokens; ~3 s de CPU que bloquean el bucle de eventos.</t>
        </is>
      </c>
    </row>
    <row r="21">
      <c r="A21" s="9" t="inlineStr"/>
      <c r="B21" s="7" t="inlineStr">
        <is>
          <t>RUN GRATUITO (etapas 1, 2a, 2b, 3)</t>
        </is>
      </c>
      <c r="C21" s="9" t="inlineStr"/>
      <c r="D21" s="25">
        <f>SUM(D13:D16)</f>
        <v/>
      </c>
      <c r="E21" s="25">
        <f>SUM(E13:E16)</f>
        <v/>
      </c>
      <c r="F21" s="9" t="inlineStr"/>
      <c r="G21" s="9" t="inlineStr"/>
      <c r="H21" s="26">
        <f>SUM(H13:H16)</f>
        <v/>
      </c>
      <c r="I21" s="27">
        <f>SUM(I13:I16)</f>
        <v/>
      </c>
      <c r="J21" s="28" t="inlineStr">
        <is>
          <t>El paywall corta antes de la etapa 4. La etapa 3 aporta el 99 % de este importe.</t>
        </is>
      </c>
    </row>
    <row r="22">
      <c r="A22" s="9" t="inlineStr"/>
      <c r="B22" s="7" t="inlineStr">
        <is>
          <t>RUN PREMIUM (etapas 1 a 6)</t>
        </is>
      </c>
      <c r="C22" s="9" t="inlineStr"/>
      <c r="D22" s="25">
        <f>SUM(D13:D19)</f>
        <v/>
      </c>
      <c r="E22" s="25">
        <f>SUM(E13:E19)</f>
        <v/>
      </c>
      <c r="F22" s="9" t="inlineStr"/>
      <c r="G22" s="9" t="inlineStr"/>
      <c r="H22" s="26">
        <f>SUM(H13:H19)</f>
        <v/>
      </c>
      <c r="I22" s="27">
        <f>SUM(I13:I19)</f>
        <v/>
      </c>
      <c r="J22" s="28" t="inlineStr">
        <is>
          <t>Contraste: .env.example anota US$ 0,19-0,23 MEDIDO el 2026-08-02. Si esta celda se sale del rango, revise las etapas 4 y 5.</t>
        </is>
      </c>
    </row>
    <row r="23">
      <c r="A23" s="4" t="inlineStr">
        <is>
          <t>+</t>
        </is>
      </c>
      <c r="B23" s="4" t="inlineStr">
        <is>
          <t>Agente web N3 (opcional, S8/S10)</t>
        </is>
      </c>
      <c r="C23" s="4" t="inlineStr">
        <is>
          <t>glm-5.2</t>
        </is>
      </c>
      <c r="D23" s="24" t="n">
        <v>1800</v>
      </c>
      <c r="E23" s="24" t="n">
        <v>350</v>
      </c>
      <c r="F23" s="21">
        <f>$D$7</f>
        <v/>
      </c>
      <c r="G23" s="21">
        <f>$E$7</f>
        <v/>
      </c>
      <c r="H23" s="22">
        <f>(D23/1000*F23+E23/1000*G23)*3</f>
        <v/>
      </c>
      <c r="I23" s="23" t="n">
        <v>60</v>
      </c>
      <c r="J23" s="6" t="inlineStr">
        <is>
          <t>×3 URL en serie por run. MEDIDO: 6.000 caracteres de HTML por extracción (agente.py:121) y 15-42 s por llamada. Solo se paga cuando la ficha NO trae JSON-LD; con datos estructurados la extracción es gratis y en milisegundos.</t>
        </is>
      </c>
    </row>
    <row r="25">
      <c r="A25" s="12" t="inlineStr">
        <is>
          <t>C · COSTO MENSUAL DE IA</t>
        </is>
      </c>
    </row>
    <row r="26" ht="30" customHeight="1">
      <c r="A26" s="3" t="inlineStr"/>
      <c r="B26" s="3" t="inlineStr">
        <is>
          <t>Concepto</t>
        </is>
      </c>
      <c r="C26" s="3" t="inlineStr"/>
      <c r="D26" s="3" t="inlineStr">
        <is>
          <t>Mínimo</t>
        </is>
      </c>
      <c r="E26" s="3" t="inlineStr">
        <is>
          <t>Esperado</t>
        </is>
      </c>
      <c r="F26" s="3" t="inlineStr">
        <is>
          <t>Máximo</t>
        </is>
      </c>
      <c r="G26" s="3" t="inlineStr"/>
      <c r="H26" s="3" t="inlineStr"/>
      <c r="I26" s="3" t="inlineStr"/>
      <c r="J26" s="3" t="inlineStr">
        <is>
          <t>Cómo se calcula</t>
        </is>
      </c>
    </row>
    <row r="27">
      <c r="A27" s="4" t="inlineStr"/>
      <c r="B27" s="4" t="inlineStr">
        <is>
          <t>Runs premium al mes</t>
        </is>
      </c>
      <c r="C27" s="4" t="inlineStr"/>
      <c r="D27" s="29">
        <f>Parametros!$B$11*0.5</f>
        <v/>
      </c>
      <c r="E27" s="29">
        <f>Parametros!$B$11</f>
        <v/>
      </c>
      <c r="F27" s="29">
        <f>Parametros!$B$11*2</f>
        <v/>
      </c>
      <c r="G27" s="4" t="inlineStr"/>
      <c r="H27" s="4" t="inlineStr"/>
      <c r="I27" s="4" t="inlineStr"/>
      <c r="J27" s="6" t="inlineStr">
        <is>
          <t>Parámetro editable. Mínimo = medio volumen; máximo = el doble.</t>
        </is>
      </c>
    </row>
    <row r="28">
      <c r="A28" s="4" t="inlineStr"/>
      <c r="B28" s="4" t="inlineStr">
        <is>
          <t>Runs gratuitos al mes</t>
        </is>
      </c>
      <c r="C28" s="4" t="inlineStr"/>
      <c r="D28" s="29">
        <f>Parametros!$B$12*0.5</f>
        <v/>
      </c>
      <c r="E28" s="29">
        <f>Parametros!$B$12</f>
        <v/>
      </c>
      <c r="F28" s="29">
        <f>Parametros!$B$12*2</f>
        <v/>
      </c>
      <c r="G28" s="4" t="inlineStr"/>
      <c r="H28" s="4" t="inlineStr"/>
      <c r="I28" s="4" t="inlineStr"/>
      <c r="J28" s="6" t="inlineStr">
        <is>
          <t>Parámetro editable.</t>
        </is>
      </c>
    </row>
    <row r="29">
      <c r="A29" s="4" t="inlineStr"/>
      <c r="B29" s="4" t="inlineStr">
        <is>
          <t>Costo bruto premium</t>
        </is>
      </c>
      <c r="C29" s="4" t="inlineStr"/>
      <c r="D29" s="5">
        <f>D27*$H$22</f>
        <v/>
      </c>
      <c r="E29" s="5">
        <f>E27*$H$22</f>
        <v/>
      </c>
      <c r="F29" s="5">
        <f>F27*$H$22</f>
        <v/>
      </c>
      <c r="G29" s="4" t="inlineStr"/>
      <c r="H29" s="4" t="inlineStr"/>
      <c r="I29" s="4" t="inlineStr"/>
      <c r="J29" s="6" t="inlineStr">
        <is>
          <t>Runs × costo por run premium.</t>
        </is>
      </c>
    </row>
    <row r="30">
      <c r="A30" s="4" t="inlineStr"/>
      <c r="B30" s="4" t="inlineStr">
        <is>
          <t>Costo bruto gratuito</t>
        </is>
      </c>
      <c r="C30" s="4" t="inlineStr"/>
      <c r="D30" s="5">
        <f>D28*$H$21</f>
        <v/>
      </c>
      <c r="E30" s="5">
        <f>E28*$H$21</f>
        <v/>
      </c>
      <c r="F30" s="5">
        <f>F28*$H$21</f>
        <v/>
      </c>
      <c r="G30" s="4" t="inlineStr"/>
      <c r="H30" s="4" t="inlineStr"/>
      <c r="I30" s="4" t="inlineStr"/>
      <c r="J30" s="6" t="inlineStr">
        <is>
          <t>Runs × costo por run gratuito. Esta línea sorprende a todo el mundo.</t>
        </is>
      </c>
    </row>
    <row r="31">
      <c r="A31" s="4" t="inlineStr"/>
      <c r="B31" s="30" t="inlineStr">
        <is>
          <t>Ahorro por cache de respuestas</t>
        </is>
      </c>
      <c r="C31" s="4" t="inlineStr"/>
      <c r="D31" s="5">
        <f>-(D30+D29)*Parametros!$B$13</f>
        <v/>
      </c>
      <c r="E31" s="5">
        <f>-(E30+E29)*Parametros!$B$13</f>
        <v/>
      </c>
      <c r="F31" s="5">
        <f>-(F30+F29)*Parametros!$B$13</f>
        <v/>
      </c>
      <c r="G31" s="4" t="inlineStr"/>
      <c r="H31" s="4" t="inlineStr"/>
      <c r="I31" s="4" t="inlineStr"/>
      <c r="J31" s="6" t="inlineStr">
        <is>
          <t>MEDIDO: 51,4 % de acierto (109 de 212 filas de etapa con modelo). El cache indexa por (entrada, modelo, etapa, snapshot_version), así que solo sirve mientras el snapshot no cambie.</t>
        </is>
      </c>
    </row>
    <row r="32">
      <c r="A32" s="9" t="inlineStr"/>
      <c r="B32" s="7" t="inlineStr">
        <is>
          <t>COSTO MENSUAL DE IA (US$)</t>
        </is>
      </c>
      <c r="C32" s="9" t="inlineStr"/>
      <c r="D32" s="8">
        <f>D29+D30+D31</f>
        <v/>
      </c>
      <c r="E32" s="8">
        <f>E29+E30+E31</f>
        <v/>
      </c>
      <c r="F32" s="8">
        <f>F29+F30+F31</f>
        <v/>
      </c>
      <c r="G32" s="9" t="inlineStr"/>
      <c r="H32" s="9" t="inlineStr"/>
      <c r="I32" s="9" t="inlineStr"/>
      <c r="J32" s="28" t="inlineStr">
        <is>
          <t>Bruto premium + bruto gratuito − ahorro de cache.</t>
        </is>
      </c>
    </row>
    <row r="33">
      <c r="A33" s="4" t="inlineStr"/>
      <c r="B33" s="4" t="inlineStr">
        <is>
          <t>Costo medio por consulta (todas)</t>
        </is>
      </c>
      <c r="C33" s="4" t="inlineStr"/>
      <c r="D33" s="31">
        <f>D32/(D27+D28)</f>
        <v/>
      </c>
      <c r="E33" s="31">
        <f>E32/(E27+E28)</f>
        <v/>
      </c>
      <c r="F33" s="31">
        <f>F32/(F27+F28)</f>
        <v/>
      </c>
      <c r="G33" s="4" t="inlineStr"/>
      <c r="H33" s="4" t="inlineStr"/>
      <c r="I33" s="4" t="inlineStr"/>
      <c r="J33" s="6" t="inlineStr">
        <is>
          <t>El número que se compara con el precio de la suscripción.</t>
        </is>
      </c>
    </row>
    <row r="34">
      <c r="A34" s="4" t="inlineStr"/>
      <c r="B34" s="4" t="inlineStr">
        <is>
          <t>Costo por 1.000 consultas</t>
        </is>
      </c>
      <c r="C34" s="4" t="inlineStr"/>
      <c r="D34" s="5">
        <f>D33*1000</f>
        <v/>
      </c>
      <c r="E34" s="5">
        <f>E33*1000</f>
        <v/>
      </c>
      <c r="F34" s="5">
        <f>F33*1000</f>
        <v/>
      </c>
      <c r="G34" s="4" t="inlineStr"/>
      <c r="H34" s="4" t="inlineStr"/>
      <c r="I34" s="4" t="inlineStr"/>
      <c r="J34" s="6" t="inlineStr">
        <is>
          <t>Para hablar de escala sin decimales.</t>
        </is>
      </c>
    </row>
    <row r="36">
      <c r="A36" s="12" t="inlineStr">
        <is>
          <t>D · CONTRA LOS TOPES QUE YA ESTÁN EN EL CÓDIGO (.env)</t>
        </is>
      </c>
    </row>
    <row r="37" ht="30" customHeight="1">
      <c r="A37" s="3" t="inlineStr"/>
      <c r="B37" s="3" t="inlineStr">
        <is>
          <t>Tope configurado</t>
        </is>
      </c>
      <c r="C37" s="3" t="inlineStr">
        <is>
          <t>Valor</t>
        </is>
      </c>
      <c r="D37" s="3" t="inlineStr">
        <is>
          <t>Runs que caben</t>
        </is>
      </c>
      <c r="E37" s="3" t="inlineStr"/>
      <c r="F37" s="3" t="inlineStr"/>
      <c r="G37" s="3" t="inlineStr"/>
      <c r="H37" s="3" t="inlineStr"/>
      <c r="I37" s="3" t="inlineStr"/>
      <c r="J37" s="3" t="inlineStr">
        <is>
          <t>Qué significa</t>
        </is>
      </c>
    </row>
    <row r="38">
      <c r="A38" s="4" t="inlineStr"/>
      <c r="B38" s="4" t="inlineStr">
        <is>
          <t>PRESUPUESTO_RUN_USD</t>
        </is>
      </c>
      <c r="C38" s="32" t="n">
        <v>0.25</v>
      </c>
      <c r="D38" s="23">
        <f>C38/$H$22</f>
        <v/>
      </c>
      <c r="E38" s="4" t="inlineStr"/>
      <c r="F38" s="4" t="inlineStr"/>
      <c r="G38" s="4" t="inlineStr"/>
      <c r="H38" s="4" t="inlineStr"/>
      <c r="I38" s="4" t="inlineStr"/>
      <c r="J38" s="6" t="inlineStr">
        <is>
          <t>Tope por run. Un run premium mide US$ 0,21: cabe, pero con poco margen. Si la etapa 3 recibe más productos, el run se corta a la mitad.</t>
        </is>
      </c>
    </row>
    <row r="39">
      <c r="A39" s="4" t="inlineStr"/>
      <c r="B39" s="4" t="inlineStr">
        <is>
          <t>PRESUPUESTO_USUARIO_MES_USD (gratuito)</t>
        </is>
      </c>
      <c r="C39" s="32" t="n">
        <v>2</v>
      </c>
      <c r="D39" s="23">
        <f>C39/$H$21</f>
        <v/>
      </c>
      <c r="E39" s="4" t="inlineStr"/>
      <c r="F39" s="4" t="inlineStr"/>
      <c r="G39" s="4" t="inlineStr"/>
      <c r="H39" s="4" t="inlineStr"/>
      <c r="I39" s="4" t="inlineStr"/>
      <c r="J39" s="6" t="inlineStr">
        <is>
          <t>El plan gratuito da para 19 consultas al mes por usuario, no las que se supusieron al escribir el número.</t>
        </is>
      </c>
    </row>
    <row r="40">
      <c r="A40" s="4" t="inlineStr"/>
      <c r="B40" s="4" t="inlineStr">
        <is>
          <t>PRESUPUESTO_PREMIUM_MES_USD</t>
        </is>
      </c>
      <c r="C40" s="32" t="n">
        <v>10</v>
      </c>
      <c r="D40" s="23">
        <f>C40/$H$22</f>
        <v/>
      </c>
      <c r="E40" s="4" t="inlineStr"/>
      <c r="F40" s="4" t="inlineStr"/>
      <c r="G40" s="4" t="inlineStr"/>
      <c r="H40" s="4" t="inlineStr"/>
      <c r="I40" s="4" t="inlineStr"/>
      <c r="J40" s="6" t="inlineStr">
        <is>
          <t>47 consultas premium al mes por usuario.</t>
        </is>
      </c>
    </row>
    <row r="41">
      <c r="A41" s="4" t="inlineStr"/>
      <c r="B41" s="19" t="inlineStr">
        <is>
          <t>PRESUPUESTO_GLOBAL_MES_USD (kill-switch)</t>
        </is>
      </c>
      <c r="C41" s="32" t="n">
        <v>10</v>
      </c>
      <c r="D41" s="23">
        <f>C41/$H$22</f>
        <v/>
      </c>
      <c r="E41" s="4" t="inlineStr"/>
      <c r="F41" s="4" t="inlineStr"/>
      <c r="G41" s="4" t="inlineStr"/>
      <c r="H41" s="4" t="inlineStr"/>
      <c r="I41" s="4" t="inlineStr"/>
      <c r="J41" s="6" t="inlineStr">
        <is>
          <t>TOPE PARA TODA LA INSTITUCIÓN. Al superarse nadie ejecuta LLM: los runs siguen devolviendo 200 con informe parcial y motivo 'presupuesto'. Sobra para el CDR; se queda corto para uso real.</t>
        </is>
      </c>
    </row>
    <row r="43">
      <c r="A43" s="12" t="inlineStr">
        <is>
          <t>E · LA PALANCA DE AHORRO: qué pasa si la etapa 3 no corre en glm-5.2</t>
        </is>
      </c>
    </row>
    <row r="44" ht="30" customHeight="1">
      <c r="A44" s="3" t="inlineStr"/>
      <c r="B44" s="3" t="inlineStr">
        <is>
          <t>Escenario para la etapa 3</t>
        </is>
      </c>
      <c r="C44" s="3" t="inlineStr">
        <is>
          <t>Modelo</t>
        </is>
      </c>
      <c r="D44" s="3" t="inlineStr">
        <is>
          <t>Costo etapa 3</t>
        </is>
      </c>
      <c r="E44" s="3" t="inlineStr">
        <is>
          <t>Costo run gratuito</t>
        </is>
      </c>
      <c r="F44" s="3" t="inlineStr">
        <is>
          <t>Costo run premium</t>
        </is>
      </c>
      <c r="G44" s="3" t="inlineStr">
        <is>
          <t>Ahorro mensual</t>
        </is>
      </c>
      <c r="H44" s="3" t="inlineStr"/>
      <c r="I44" s="3" t="inlineStr"/>
      <c r="J44" s="3" t="inlineStr">
        <is>
          <t>Qué haría falta</t>
        </is>
      </c>
    </row>
    <row r="45">
      <c r="A45" s="4" t="inlineStr"/>
      <c r="B45" s="4" t="inlineStr">
        <is>
          <t>Hoy — como está desplegado</t>
        </is>
      </c>
      <c r="C45" s="4" t="inlineStr">
        <is>
          <t>glm-5.2</t>
        </is>
      </c>
      <c r="D45" s="31">
        <f>$H$16</f>
        <v/>
      </c>
      <c r="E45" s="31">
        <f>$H$21</f>
        <v/>
      </c>
      <c r="F45" s="31">
        <f>$H$22</f>
        <v/>
      </c>
      <c r="G45" s="5" t="n">
        <v>0</v>
      </c>
      <c r="H45" s="4" t="inlineStr"/>
      <c r="I45" s="4" t="inlineStr"/>
      <c r="J45" s="6" t="inlineStr">
        <is>
          <t>Nada. Es el estado actual: adaptadores/redactor_glm.py apunta la etapa 3 a glm-5.2.</t>
        </is>
      </c>
    </row>
    <row r="46">
      <c r="A46" s="4" t="inlineStr"/>
      <c r="B46" s="4" t="inlineStr">
        <is>
          <t>Etapa 3 a deepseek-v4-flash</t>
        </is>
      </c>
      <c r="C46" s="4" t="inlineStr">
        <is>
          <t>deepseek-v4-flash</t>
        </is>
      </c>
      <c r="D46" s="31">
        <f>$D$16/1000*$D$6+$E$16/1000*$E$6</f>
        <v/>
      </c>
      <c r="E46" s="31">
        <f>$H$21-$H$16+D46</f>
        <v/>
      </c>
      <c r="F46" s="31">
        <f>$H$22-$H$16+D46</f>
        <v/>
      </c>
      <c r="G46" s="5">
        <f>(E45-E46)*Parametros!$B$12+(F45-F46)*Parametros!$B$11</f>
        <v/>
      </c>
      <c r="H46" s="4" t="inlineStr"/>
      <c r="I46" s="4" t="inlineStr"/>
      <c r="J46" s="6" t="inlineStr">
        <is>
          <t>Un cambio de una línea, pero hay que revalidar la calidad del insight: es la etapa que el CITE lee. Medir contra el golden set de los 5 insumos antes de tocarla.</t>
        </is>
      </c>
    </row>
    <row r="47">
      <c r="A47" s="4" t="inlineStr"/>
      <c r="B47" s="4" t="inlineStr">
        <is>
          <t>Recortar el contexto de la etapa 3 a la mitad</t>
        </is>
      </c>
      <c r="C47" s="4" t="inlineStr">
        <is>
          <t>glm-5.2</t>
        </is>
      </c>
      <c r="D47" s="31">
        <f>$D$16/2/1000*$D$7+$E$16/1000*$E$7</f>
        <v/>
      </c>
      <c r="E47" s="31">
        <f>$H$21-$H$16+D47</f>
        <v/>
      </c>
      <c r="F47" s="31">
        <f>$H$22-$H$16+D47</f>
        <v/>
      </c>
      <c r="G47" s="5">
        <f>(E45-E47)*Parametros!$B$12+(F45-F47)*Parametros!$B$11</f>
        <v/>
      </c>
      <c r="H47" s="4" t="inlineStr"/>
      <c r="I47" s="4" t="inlineStr"/>
      <c r="J47" s="6" t="inlineStr">
        <is>
          <t>Pasar 15 productos en vez de 30 a la etapa 3. Cambia el prompt, no el modelo. Es la palanca reversible.</t>
        </is>
      </c>
    </row>
    <row r="48">
      <c r="A48" s="4" t="inlineStr"/>
      <c r="B48" s="4" t="inlineStr">
        <is>
          <t>Etapa 3 a glm-5.0 (la del plan original)</t>
        </is>
      </c>
      <c r="C48" s="19" t="inlineStr">
        <is>
          <t>glm-5.0 — NO DISPONIBLE</t>
        </is>
      </c>
      <c r="D48" s="31">
        <f>$D$16/1000*$D$8+$E$16/1000*$E$8</f>
        <v/>
      </c>
      <c r="E48" s="31">
        <f>$H$21-$H$16+D48</f>
        <v/>
      </c>
      <c r="F48" s="31">
        <f>$H$22-$H$16+D48</f>
        <v/>
      </c>
      <c r="G48" s="5">
        <f>(E45-E48)*Parametros!$B$12+(F45-F48)*Parametros!$B$11</f>
        <v/>
      </c>
      <c r="H48" s="4" t="inlineStr"/>
      <c r="I48" s="4" t="inlineStr"/>
      <c r="J48" s="6" t="inlineStr">
        <is>
          <t>IMPOSIBLE HOY: ModelArts devuelve 404. Se deja la fila porque es la cifra que el presupuesto original asumía, y explica la diferencia con lo que se prometió.</t>
        </is>
      </c>
    </row>
    <row r="50" ht="42" customHeight="1">
      <c r="A50" s="33" t="inlineStr">
        <is>
          <t>HALLAZGO 1 · La etapa 3 es el 99 % del run gratuito y la mitad del premium. Consume 6.377 tokens de entrada porque le entran los 30 productos con sus ingredientes completos. Si algún día hay que recortar el gasto de IA, el sitio es este y no otro.</t>
        </is>
      </c>
    </row>
    <row r="51" ht="42" customHeight="1">
      <c r="A51" s="33" t="inlineStr">
        <is>
          <t>HALLAZGO 2 · Lo que se prometió y lo que se paga no coinciden. DECISION-D2 cerró el presupuesto en US$ 0,0228 por run premium suponiendo la etapa 3 en glm-4.7/glm-5.0. Con esos modelos devolviendo 404 en ModelArts, la etapa quedó en glm-5.2 y el run real cuesta US$ 0,21: nueve veces más. Conviene corregir la cifra del pitch antes de que el CITE la lea como compromiso.</t>
        </is>
      </c>
    </row>
    <row r="52" ht="42" customHeight="1">
      <c r="A52" s="13" t="inlineStr">
        <is>
          <t>HALLAZGO 3 · El cache mide mejor de lo que se supuso. El presupuesto anterior asumía 30 % de ahorro; la telemetría real da 51,4 %. Pero la clave incluye snapshot_version: el día que se publica un snapshot nuevo, el ahorro vuelve a cero de golpe. No presupuestar el cache como si fuera permanente.</t>
        </is>
      </c>
    </row>
    <row r="53" ht="42" customHeight="1">
      <c r="A53" s="13" t="inlineStr">
        <is>
          <t>HALLAZGO 4 · Estos costes son de ModelArts MaaS en Singapur, y la app corre en Santiago. Son ~300 ms por llamada de ida y vuelta, sobre generaciones de 15-123 s medidas: es ruido en latencia y no cuesta tráfico (el egress de la API va por internet, no por VPC).</t>
        </is>
      </c>
    </row>
  </sheetData>
  <mergeCells count="4">
    <mergeCell ref="A53:J53"/>
    <mergeCell ref="A52:J52"/>
    <mergeCell ref="A50:J50"/>
    <mergeCell ref="A51:J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20" customWidth="1" min="3" max="3"/>
    <col width="16" customWidth="1" min="4" max="4"/>
    <col width="16" customWidth="1" min="5" max="5"/>
    <col width="13" customWidth="1" min="6" max="6"/>
    <col width="13" customWidth="1" min="7" max="7"/>
    <col width="13" customWidth="1" min="8" max="8"/>
    <col width="58" customWidth="1" min="9" max="9"/>
  </cols>
  <sheetData>
    <row r="1">
      <c r="A1" s="1" t="inlineStr">
        <is>
          <t>Suscripciones y servicios de terceros</t>
        </is>
      </c>
    </row>
    <row r="2">
      <c r="A2" s="2" t="inlineStr">
        <is>
          <t>Lo que hoy está contratado o tiene clave activa en .env, con su modelo de cobro. Verificado contra el .env el 2026-08-14 (sin exponer valores).</t>
        </is>
      </c>
    </row>
    <row r="4" ht="30" customHeight="1">
      <c r="A4" s="3" t="inlineStr">
        <is>
          <t>Servicio</t>
        </is>
      </c>
      <c r="B4" s="3" t="inlineStr">
        <is>
          <t>Para qué se usa</t>
        </is>
      </c>
      <c r="C4" s="3" t="inlineStr">
        <is>
          <t>Plan actual</t>
        </is>
      </c>
      <c r="D4" s="3" t="inlineStr">
        <is>
          <t>Modelo de cobro</t>
        </is>
      </c>
      <c r="E4" s="3" t="inlineStr">
        <is>
          <t>Estado de la clave</t>
        </is>
      </c>
      <c r="F4" s="3" t="inlineStr">
        <is>
          <t>US$/mes mín</t>
        </is>
      </c>
      <c r="G4" s="3" t="inlineStr">
        <is>
          <t>US$/mes esp.</t>
        </is>
      </c>
      <c r="H4" s="3" t="inlineStr">
        <is>
          <t>US$/mes máx</t>
        </is>
      </c>
      <c r="I4" s="3" t="inlineStr">
        <is>
          <t>Nota y qué decidir</t>
        </is>
      </c>
    </row>
    <row r="5">
      <c r="A5" s="4" t="inlineStr">
        <is>
          <t>Huawei ModelArts MaaS</t>
        </is>
      </c>
      <c r="B5" s="4" t="inlineStr">
        <is>
          <t>Los 5 modelos del DAG (deepseek-v4-flash y glm-5.2) y el agente extractor</t>
        </is>
      </c>
      <c r="C5" s="4" t="inlineStr">
        <is>
          <t>Pago por token</t>
        </is>
      </c>
      <c r="D5" s="4" t="inlineStr">
        <is>
          <t>Por token consumido</t>
        </is>
      </c>
      <c r="E5" s="4" t="inlineStr">
        <is>
          <t>CONFIGURADA</t>
        </is>
      </c>
      <c r="F5" s="5">
        <f>'Costos-IA'!$D$32</f>
        <v/>
      </c>
      <c r="G5" s="5">
        <f>'Costos-IA'!$E$32</f>
        <v/>
      </c>
      <c r="H5" s="5">
        <f>'Costos-IA'!$F$32</f>
        <v/>
      </c>
      <c r="I5" s="6" t="inlineStr">
        <is>
          <t>No tiene cuota fija: es el consumo de la hoja Costos-IA. Vive en ap-southeast-1 (Singapur).</t>
        </is>
      </c>
    </row>
    <row r="6">
      <c r="A6" s="4" t="inlineStr">
        <is>
          <t>Huawei Cloud (infraestructura)</t>
        </is>
      </c>
      <c r="B6" s="4" t="inlineStr">
        <is>
          <t>ECS, RDS, EVS, OBS, EIP, CBR, LTS, CES</t>
        </is>
      </c>
      <c r="C6" s="4" t="inlineStr">
        <is>
          <t>Pago por uso</t>
        </is>
      </c>
      <c r="D6" s="4" t="inlineStr">
        <is>
          <t>Por hora y por GB-mes</t>
        </is>
      </c>
      <c r="E6" s="4" t="inlineStr">
        <is>
          <t>Cuenta International requerida</t>
        </is>
      </c>
      <c r="F6" s="5">
        <f>Infraestructura!$J$31</f>
        <v/>
      </c>
      <c r="G6" s="5">
        <f>Infraestructura!$K$31</f>
        <v/>
      </c>
      <c r="H6" s="5">
        <f>Infraestructura!$L$31</f>
        <v/>
      </c>
      <c r="I6" s="6" t="inlineStr">
        <is>
          <t>Detalle línea por línea en la hoja Infraestructura. El compromiso anual descuenta 30-40 %.</t>
        </is>
      </c>
    </row>
    <row r="7">
      <c r="A7" s="4" t="inlineStr">
        <is>
          <t>Supabase</t>
        </is>
      </c>
      <c r="B7" s="4" t="inlineStr">
        <is>
          <t>Postgres gestionado, Auth y Storage de PDFs (Semana 3)</t>
        </is>
      </c>
      <c r="C7" s="19" t="inlineStr">
        <is>
          <t>Free o Pro</t>
        </is>
      </c>
      <c r="D7" s="4" t="inlineStr">
        <is>
          <t>Cuota fija mensual</t>
        </is>
      </c>
      <c r="E7" s="4" t="inlineStr">
        <is>
          <t>CONFIGURADA (6 variables)</t>
        </is>
      </c>
      <c r="F7" s="32" t="n">
        <v>0</v>
      </c>
      <c r="G7" s="32" t="n">
        <v>0</v>
      </c>
      <c r="H7" s="32" t="n">
        <v>25</v>
      </c>
      <c r="I7" s="6" t="inlineStr">
        <is>
          <t>SALE DE LA FOTO cuando entre RDS (decisión de INFRA-HUAWEI-CLOUD.md §1). Mientras tanto sigue activa y es la base real. Coste 0 en Free; US$ 25 en Pro.</t>
        </is>
      </c>
    </row>
    <row r="8">
      <c r="A8" s="4" t="inlineStr">
        <is>
          <t>Tavily</t>
        </is>
      </c>
      <c r="B8" s="4" t="inlineStr">
        <is>
          <t>Búsqueda web del agente N3 (fase F4 / S10)</t>
        </is>
      </c>
      <c r="C8" s="4" t="inlineStr">
        <is>
          <t>Free (1.000 créditos)</t>
        </is>
      </c>
      <c r="D8" s="4" t="inlineStr">
        <is>
          <t>Por crédito o cuota</t>
        </is>
      </c>
      <c r="E8" s="4" t="inlineStr">
        <is>
          <t>CONFIGURADA</t>
        </is>
      </c>
      <c r="F8" s="32" t="n">
        <v>0</v>
      </c>
      <c r="G8" s="32" t="n">
        <v>0</v>
      </c>
      <c r="H8" s="32" t="n">
        <v>30</v>
      </c>
      <c r="I8" s="6" t="inlineStr">
        <is>
          <t>Gratuito hasta 1.000 créditos/mes; el plan Researcher son US$ 30/mes por 4.000 créditos, o US$ 0,008 por crédito a demanda. Una búsqueda básica = 1 crédito. VERIFICAR el consumo real antes de comprometer.</t>
        </is>
      </c>
    </row>
    <row r="9">
      <c r="A9" s="4" t="inlineStr">
        <is>
          <t>Bright Data Web Unlocker</t>
        </is>
      </c>
      <c r="B9" s="4" t="inlineStr">
        <is>
          <t>Reserva cuando una tienda responde 403 (góndola S8)</t>
        </is>
      </c>
      <c r="C9" s="4" t="inlineStr">
        <is>
          <t>Pago por uso · zona web_api_ai</t>
        </is>
      </c>
      <c r="D9" s="4" t="inlineStr">
        <is>
          <t>Por 1.000 peticiones con éxito</t>
        </is>
      </c>
      <c r="E9" s="4" t="inlineStr">
        <is>
          <t>CONFIGURADA</t>
        </is>
      </c>
      <c r="F9" s="32" t="n">
        <v>0</v>
      </c>
      <c r="G9" s="32" t="n">
        <v>5</v>
      </c>
      <c r="H9" s="32" t="n">
        <v>30</v>
      </c>
      <c r="I9" s="6" t="inlineStr">
        <is>
          <t>~US$ 1,5-3 por 1.000 peticiones con éxito; hay franja gratuita mensual. Solo se paga lo que responde bien. El volumen depende de cuántas tiendas bloqueen: hoy es impredecible.</t>
        </is>
      </c>
    </row>
    <row r="10">
      <c r="A10" s="4" t="inlineStr">
        <is>
          <t>USDA FoodData Central</t>
        </is>
      </c>
      <c r="B10" s="4" t="inlineStr">
        <is>
          <t>990 productos Branded del snapshot (818 tras dedup)</t>
        </is>
      </c>
      <c r="C10" s="4" t="inlineStr">
        <is>
          <t>Gratuito con API key</t>
        </is>
      </c>
      <c r="D10" s="4" t="inlineStr">
        <is>
          <t>Sin coste</t>
        </is>
      </c>
      <c r="E10" s="4" t="inlineStr">
        <is>
          <t>CONFIGURADA</t>
        </is>
      </c>
      <c r="F10" s="32" t="n">
        <v>0</v>
      </c>
      <c r="G10" s="32" t="n">
        <v>0</v>
      </c>
      <c r="H10" s="32" t="n">
        <v>0</v>
      </c>
      <c r="I10" s="6" t="inlineStr">
        <is>
          <t>Gratuito. Solo exige registrar una clave y respetar el límite de peticiones por hora.</t>
        </is>
      </c>
    </row>
    <row r="11">
      <c r="A11" s="4" t="inlineStr">
        <is>
          <t>Open Food Facts</t>
        </is>
      </c>
      <c r="B11" s="4" t="inlineStr">
        <is>
          <t>28.236 productos del snapshot y, en adelante, la base MongoDB entera</t>
        </is>
      </c>
      <c r="C11" s="4" t="inlineStr">
        <is>
          <t>Gratuito · ODbL</t>
        </is>
      </c>
      <c r="D11" s="4" t="inlineStr">
        <is>
          <t>Sin coste</t>
        </is>
      </c>
      <c r="E11" s="4" t="inlineStr">
        <is>
          <t>Sin clave: descarga pública</t>
        </is>
      </c>
      <c r="F11" s="32" t="n">
        <v>0</v>
      </c>
      <c r="G11" s="32" t="n">
        <v>0</v>
      </c>
      <c r="H11" s="32" t="n">
        <v>0</v>
      </c>
      <c r="I11" s="6" t="inlineStr">
        <is>
          <t>Licencia ODbL: es gratis y se puede usar comercialmente, pero OBLIGA a atribuir y a compartir con la misma licencia las bases derivadas. Ponerlo en el informe y en el pie de la SPA.</t>
        </is>
      </c>
    </row>
    <row r="12">
      <c r="A12" s="4" t="inlineStr">
        <is>
          <t>eCFR (Title 21) y DIGESA</t>
        </is>
      </c>
      <c r="B12" s="4" t="inlineStr">
        <is>
          <t>Corpus regulatorio: 702 + 32 documentos</t>
        </is>
      </c>
      <c r="C12" s="4" t="inlineStr">
        <is>
          <t>Gratuito</t>
        </is>
      </c>
      <c r="D12" s="4" t="inlineStr">
        <is>
          <t>Sin coste</t>
        </is>
      </c>
      <c r="E12" s="4" t="inlineStr">
        <is>
          <t>Sin clave: API y PDF públicos</t>
        </is>
      </c>
      <c r="F12" s="32" t="n">
        <v>0</v>
      </c>
      <c r="G12" s="32" t="n">
        <v>0</v>
      </c>
      <c r="H12" s="32" t="n">
        <v>0</v>
      </c>
      <c r="I12" s="6" t="inlineStr">
        <is>
          <t>DIGESA devuelve 403 si se piden páginas seguidas: la ingesta ya lo espacia.</t>
        </is>
      </c>
    </row>
    <row r="13">
      <c r="A13" s="4" t="inlineStr">
        <is>
          <t>Dominio y DNS</t>
        </is>
      </c>
      <c r="B13" s="4" t="inlineStr">
        <is>
          <t>Nombre público de la aplicación y certificado TLS</t>
        </is>
      </c>
      <c r="C13" s="4" t="inlineStr">
        <is>
          <t>Registro anual</t>
        </is>
      </c>
      <c r="D13" s="4" t="inlineStr">
        <is>
          <t>Anual</t>
        </is>
      </c>
      <c r="E13" s="4" t="inlineStr">
        <is>
          <t>Por contratar</t>
        </is>
      </c>
      <c r="F13" s="32" t="n">
        <v>1</v>
      </c>
      <c r="G13" s="32" t="n">
        <v>1.5</v>
      </c>
      <c r="H13" s="32" t="n">
        <v>3</v>
      </c>
      <c r="I13" s="6" t="inlineStr">
        <is>
          <t>US$ 12-35 al año según extensión. El certificado es gratuito (Huawei SCM o Let's Encrypt).</t>
        </is>
      </c>
    </row>
    <row r="14">
      <c r="A14" s="4" t="inlineStr">
        <is>
          <t>MongoDB Atlas</t>
        </is>
      </c>
      <c r="B14" s="4" t="inlineStr">
        <is>
          <t>Alternativa gestionada a DDS para Open Food Facts</t>
        </is>
      </c>
      <c r="C14" s="34" t="inlineStr">
        <is>
          <t>NO CONTRATADO</t>
        </is>
      </c>
      <c r="D14" s="4" t="inlineStr">
        <is>
          <t>Por hora</t>
        </is>
      </c>
      <c r="E14" s="4" t="inlineStr">
        <is>
          <t>—</t>
        </is>
      </c>
      <c r="F14" s="32" t="n">
        <v>0</v>
      </c>
      <c r="G14" s="32" t="n">
        <v>0</v>
      </c>
      <c r="H14" s="32" t="n">
        <v>0</v>
      </c>
      <c r="I14" s="6" t="inlineStr">
        <is>
          <t>Se evalúa en la hoja MongoDB-OFF como opción C. Vive fuera de Huawei: suma latencia entre nubes y tráfico de salida que hoy no se paga.</t>
        </is>
      </c>
    </row>
    <row r="15">
      <c r="A15" s="4" t="inlineStr">
        <is>
          <t>Redis / DCS</t>
        </is>
      </c>
      <c r="B15" s="4" t="inlineStr">
        <is>
          <t>Cache de búsquedas (opcional en el MVP, requerido en S10)</t>
        </is>
      </c>
      <c r="C15" s="34" t="inlineStr">
        <is>
          <t>NO CONTRATADO</t>
        </is>
      </c>
      <c r="D15" s="4" t="inlineStr">
        <is>
          <t>Por hora</t>
        </is>
      </c>
      <c r="E15" s="4" t="inlineStr">
        <is>
          <t>REDIS_URL apunta a localhost</t>
        </is>
      </c>
      <c r="F15" s="32" t="n">
        <v>0</v>
      </c>
      <c r="G15" s="32" t="n">
        <v>0</v>
      </c>
      <c r="H15" s="32" t="n">
        <v>0</v>
      </c>
      <c r="I15" s="6" t="inlineStr">
        <is>
          <t>Hoy no existe en la nube. El cache de LLM va sobre Postgres, no sobre Redis. Entra solo si S10 lo exige.</t>
        </is>
      </c>
    </row>
    <row r="17">
      <c r="A17" s="7" t="inlineStr">
        <is>
          <t>TOTAL SUSCRIPCIONES (US$/mes)</t>
        </is>
      </c>
      <c r="B17" s="9" t="inlineStr"/>
      <c r="C17" s="9" t="inlineStr"/>
      <c r="D17" s="9" t="inlineStr"/>
      <c r="E17" s="9" t="inlineStr"/>
      <c r="F17" s="8">
        <f>SUM(F5:F15)-F5-F6</f>
        <v/>
      </c>
      <c r="G17" s="8">
        <f>SUM(G5:G15)-G5-G6</f>
        <v/>
      </c>
      <c r="H17" s="8">
        <f>SUM(H5:H15)-H5-H6</f>
        <v/>
      </c>
      <c r="I17" s="28" t="inlineStr">
        <is>
          <t>Excluye MaaS y la infraestructura de Huawei porque se suman aparte en el Resumen: aquí quedan solo las suscripciones de terceros.</t>
        </is>
      </c>
    </row>
    <row r="19">
      <c r="A19" s="12" t="inlineStr">
        <is>
          <t>Lo que hay que decidir sobre las suscripciones</t>
        </is>
      </c>
    </row>
    <row r="20" ht="44" customHeight="1">
      <c r="A20" s="13" t="inlineStr">
        <is>
          <t>1. Supabase y RDS están pagándose a la vez en cuanto se despliegue. La decisión de INFRA-HUAWEI-CLOUD.md §1 es que Supabase sale, pero la migración son 13,5-15 h de código todavía sin hacer. Hasta que se haga, o se paga doble o el despliegue en Huawei apunta a Supabase por internet, que es justo lo que la decisión quería evitar.</t>
        </is>
      </c>
    </row>
    <row r="21" ht="44" customHeight="1">
      <c r="A21" s="13" t="inlineStr">
        <is>
          <t>2. Tavily y Bright Data son los dos únicos gastos que no se pueden acotar por adelantado. El resto del libro es capacidad reservada o consumo con kill-switch; estos dos son por petición y dependen de cuántas tiendas bloqueen. Recomendación: fijar un tope de gasto en el panel de cada proveedor antes de que el agente N3 corra sin supervisión.</t>
        </is>
      </c>
    </row>
    <row r="22" ht="44" customHeight="1">
      <c r="A22" s="13" t="inlineStr">
        <is>
          <t>3. La licencia de Open Food Facts es ODbL y no es decorativa. Obliga a atribuir la fuente y a publicar bajo la misma licencia cualquier base derivada que se distribuya. Usarla internamente y mostrar resultados no es problema; venderla como base de datos propia sí lo es. Conviene resolverlo con el CITE antes del contrato, no después.</t>
        </is>
      </c>
    </row>
  </sheetData>
  <mergeCells count="3">
    <mergeCell ref="A20:I20"/>
    <mergeCell ref="A21:I21"/>
    <mergeCell ref="A22:I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3"/>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40" customWidth="1" min="3" max="3"/>
    <col width="13" customWidth="1" min="4" max="4"/>
    <col width="8" customWidth="1" min="5" max="5"/>
    <col width="10" customWidth="1" min="6" max="6"/>
    <col width="11" customWidth="1" min="7" max="7"/>
    <col width="11" customWidth="1" min="8" max="8"/>
    <col width="11" customWidth="1" min="9" max="9"/>
    <col width="12" customWidth="1" min="10" max="10"/>
    <col width="12" customWidth="1" min="11" max="11"/>
    <col width="12" customWidth="1" min="12" max="12"/>
    <col width="10" customWidth="1" min="13" max="13"/>
    <col width="60" customWidth="1" min="14" max="14"/>
  </cols>
  <sheetData>
    <row r="1">
      <c r="A1" s="1" t="inlineStr">
        <is>
          <t>Infraestructura Huawei Cloud que hace falta</t>
        </is>
      </c>
    </row>
    <row r="2">
      <c r="A2" s="2" t="inlineStr">
        <is>
          <t>Región LA-Santiago. Columnas G, H, I son celdas de entrada: pegue ahí el precio del calculador y todo se recalcula.</t>
        </is>
      </c>
    </row>
    <row r="4" ht="30" customHeight="1">
      <c r="A4" s="3" t="inlineStr">
        <is>
          <t>Categoría</t>
        </is>
      </c>
      <c r="B4" s="3" t="inlineStr">
        <is>
          <t>Concepto</t>
        </is>
      </c>
      <c r="C4" s="3" t="inlineStr">
        <is>
          <t>Especificación</t>
        </is>
      </c>
      <c r="D4" s="3" t="inlineStr">
        <is>
          <t>Unidad</t>
        </is>
      </c>
      <c r="E4" s="3" t="inlineStr">
        <is>
          <t>Cant.</t>
        </is>
      </c>
      <c r="F4" s="3" t="inlineStr">
        <is>
          <t>Uso/mes</t>
        </is>
      </c>
      <c r="G4" s="3" t="inlineStr">
        <is>
          <t>P. mín</t>
        </is>
      </c>
      <c r="H4" s="3" t="inlineStr">
        <is>
          <t>P. esp.</t>
        </is>
      </c>
      <c r="I4" s="3" t="inlineStr">
        <is>
          <t>P. máx</t>
        </is>
      </c>
      <c r="J4" s="3" t="inlineStr">
        <is>
          <t>Coste mín</t>
        </is>
      </c>
      <c r="K4" s="3" t="inlineStr">
        <is>
          <t>Coste esp.</t>
        </is>
      </c>
      <c r="L4" s="3" t="inlineStr">
        <is>
          <t>Coste máx</t>
        </is>
      </c>
      <c r="M4" s="3" t="inlineStr">
        <is>
          <t>Confianza</t>
        </is>
      </c>
      <c r="N4" s="3" t="inlineStr">
        <is>
          <t>Por qué está y cómo verificar el precio</t>
        </is>
      </c>
    </row>
    <row r="5">
      <c r="A5" s="4" t="inlineStr">
        <is>
          <t>Cómputo</t>
        </is>
      </c>
      <c r="B5" s="4" t="inlineStr">
        <is>
          <t>ECS s7n.xlarge.2</t>
        </is>
      </c>
      <c r="C5" s="4" t="inlineStr">
        <is>
          <t>4 vCPU · 8 GB · Ubuntu 22.04 · API + nginx + SPA</t>
        </is>
      </c>
      <c r="D5" s="4" t="inlineStr">
        <is>
          <t>US$/hora</t>
        </is>
      </c>
      <c r="E5" s="4" t="n">
        <v>1</v>
      </c>
      <c r="F5" s="4">
        <f>Parametros!$B$6</f>
        <v/>
      </c>
      <c r="G5" s="35" t="n">
        <v>0.096</v>
      </c>
      <c r="H5" s="35" t="n">
        <v>0.125</v>
      </c>
      <c r="I5" s="35" t="n">
        <v>0.15</v>
      </c>
      <c r="J5" s="5">
        <f>$E5*$F5*G5</f>
        <v/>
      </c>
      <c r="K5" s="36">
        <f>$E5*$F5*H5</f>
        <v/>
      </c>
      <c r="L5" s="5">
        <f>$E5*$F5*I5</f>
        <v/>
      </c>
      <c r="M5" s="4" t="inlineStr">
        <is>
          <t>Media</t>
        </is>
      </c>
      <c r="N5" s="6" t="inlineStr">
        <is>
          <t>Los 8 GB los exige bge-m3: 2,3 GB de pesos y 3,5-4,5 GB de proceso. Sin GPU: el gate P03 se midió en CPU con p95 176 ms contra un techo de 2 s. Calculator → ECS → LA-Santiago → s7n → 4 vCPU/8 GB → Pay-per-use.</t>
        </is>
      </c>
    </row>
    <row r="6">
      <c r="A6" s="4" t="inlineStr">
        <is>
          <t>Cómputo</t>
        </is>
      </c>
      <c r="B6" s="4" t="inlineStr">
        <is>
          <t>Disco de sistema</t>
        </is>
      </c>
      <c r="C6" s="4" t="inlineStr">
        <is>
          <t>EVS SSD 40 GB</t>
        </is>
      </c>
      <c r="D6" s="4" t="inlineStr">
        <is>
          <t>US$/GB-mes</t>
        </is>
      </c>
      <c r="E6" s="4" t="n">
        <v>40</v>
      </c>
      <c r="F6" s="4" t="n">
        <v>1</v>
      </c>
      <c r="G6" s="35" t="n">
        <v>0.1</v>
      </c>
      <c r="H6" s="35" t="n">
        <v>0.12</v>
      </c>
      <c r="I6" s="35" t="n">
        <v>0.15</v>
      </c>
      <c r="J6" s="5">
        <f>$E6*$F6*G6</f>
        <v/>
      </c>
      <c r="K6" s="36">
        <f>$E6*$F6*H6</f>
        <v/>
      </c>
      <c r="L6" s="5">
        <f>$E6*$F6*I6</f>
        <v/>
      </c>
      <c r="M6" s="4" t="inlineStr">
        <is>
          <t>Media</t>
        </is>
      </c>
      <c r="N6" s="6" t="inlineStr">
        <is>
          <t>La imagen Docker con PyTorch CPU pesa ~1,5 GB. Calculator → EVS → General Purpose SSD.</t>
        </is>
      </c>
    </row>
    <row r="7">
      <c r="A7" s="4" t="inlineStr">
        <is>
          <t>Base de datos</t>
        </is>
      </c>
      <c r="B7" s="4" t="inlineStr">
        <is>
          <t>RDS PostgreSQL 16</t>
        </is>
      </c>
      <c r="C7" s="4" t="inlineStr">
        <is>
          <t>rds.pg.n1.large.2 · 2 vCPU/4 GB · nodo único · sin acceso público</t>
        </is>
      </c>
      <c r="D7" s="4" t="inlineStr">
        <is>
          <t>US$/hora</t>
        </is>
      </c>
      <c r="E7" s="4" t="n">
        <v>1</v>
      </c>
      <c r="F7" s="4">
        <f>Parametros!$B$6</f>
        <v/>
      </c>
      <c r="G7" s="35" t="n">
        <v>0.07000000000000001</v>
      </c>
      <c r="H7" s="35" t="n">
        <v>0.095</v>
      </c>
      <c r="I7" s="35" t="n">
        <v>0.12</v>
      </c>
      <c r="J7" s="5">
        <f>$E7*$F7*G7</f>
        <v/>
      </c>
      <c r="K7" s="36">
        <f>$E7*$F7*H7</f>
        <v/>
      </c>
      <c r="L7" s="5">
        <f>$E7*$F7*I7</f>
        <v/>
      </c>
      <c r="M7" s="4" t="inlineStr">
        <is>
          <t>Media</t>
        </is>
      </c>
      <c r="N7" s="6" t="inlineStr">
        <is>
          <t>Estado de aplicación, cache_llm, perfiles y usuarios. La opción primario/en espera DUPLICA esta línea y se difiere a producción. Calculator → RDS → PostgreSQL → Single.</t>
        </is>
      </c>
    </row>
    <row r="8">
      <c r="A8" s="4" t="inlineStr">
        <is>
          <t>Base de datos</t>
        </is>
      </c>
      <c r="B8" s="4" t="inlineStr">
        <is>
          <t>Almacenamiento RDS</t>
        </is>
      </c>
      <c r="C8" s="4" t="inlineStr">
        <is>
          <t>SSD 40 GB (mínimo del servicio)</t>
        </is>
      </c>
      <c r="D8" s="4" t="inlineStr">
        <is>
          <t>US$/GB-mes</t>
        </is>
      </c>
      <c r="E8" s="4" t="n">
        <v>40</v>
      </c>
      <c r="F8" s="4" t="n">
        <v>1</v>
      </c>
      <c r="G8" s="35" t="n">
        <v>0.15</v>
      </c>
      <c r="H8" s="35" t="n">
        <v>0.18</v>
      </c>
      <c r="I8" s="35" t="n">
        <v>0.22</v>
      </c>
      <c r="J8" s="5">
        <f>$E8*$F8*G8</f>
        <v/>
      </c>
      <c r="K8" s="36">
        <f>$E8*$F8*H8</f>
        <v/>
      </c>
      <c r="L8" s="5">
        <f>$E8*$F8*I8</f>
        <v/>
      </c>
      <c r="M8" s="4" t="inlineStr">
        <is>
          <t>Media</t>
        </is>
      </c>
      <c r="N8" s="6" t="inlineStr">
        <is>
          <t>Con entrada_json/salida_json en jsonb, 40 GB dan para años: el crecimiento medido es ~0,12 MB por consulta premium.</t>
        </is>
      </c>
    </row>
    <row r="9">
      <c r="A9" s="4" t="inlineStr">
        <is>
          <t>Base de datos</t>
        </is>
      </c>
      <c r="B9" s="4" t="inlineStr">
        <is>
          <t>Backup automático + PITR</t>
        </is>
      </c>
      <c r="C9" s="4" t="inlineStr">
        <is>
          <t>Retención 7 días</t>
        </is>
      </c>
      <c r="D9" s="4" t="inlineStr">
        <is>
          <t>US$/mes</t>
        </is>
      </c>
      <c r="E9" s="4" t="n">
        <v>1</v>
      </c>
      <c r="F9" s="4" t="n">
        <v>1</v>
      </c>
      <c r="G9" s="35" t="n">
        <v>0</v>
      </c>
      <c r="H9" s="35" t="n">
        <v>0</v>
      </c>
      <c r="I9" s="35" t="n">
        <v>3</v>
      </c>
      <c r="J9" s="5">
        <f>$E9*$F9*G9</f>
        <v/>
      </c>
      <c r="K9" s="36">
        <f>$E9*$F9*H9</f>
        <v/>
      </c>
      <c r="L9" s="5">
        <f>$E9*$F9*I9</f>
        <v/>
      </c>
      <c r="M9" s="4" t="inlineStr">
        <is>
          <t>Baja</t>
        </is>
      </c>
      <c r="N9" s="6" t="inlineStr">
        <is>
          <t>Huawei suele incluir sin cargo un backup del tamaño contratado; el exceso se cobra. CONFIRMAR en el calculador.</t>
        </is>
      </c>
    </row>
    <row r="10">
      <c r="A10" s="4" t="inlineStr">
        <is>
          <t>Almacenamiento</t>
        </is>
      </c>
      <c r="B10" s="4" t="inlineStr">
        <is>
          <t>EVS de datos</t>
        </is>
      </c>
      <c r="C10" s="4" t="inlineStr">
        <is>
          <t>SSD 100 GB en /data: índice LanceDB 135 MB + snapshot 66 MB + PDFs</t>
        </is>
      </c>
      <c r="D10" s="4" t="inlineStr">
        <is>
          <t>US$/GB-mes</t>
        </is>
      </c>
      <c r="E10" s="4" t="n">
        <v>100</v>
      </c>
      <c r="F10" s="4" t="n">
        <v>1</v>
      </c>
      <c r="G10" s="35" t="n">
        <v>0.1</v>
      </c>
      <c r="H10" s="35" t="n">
        <v>0.12</v>
      </c>
      <c r="I10" s="35" t="n">
        <v>0.15</v>
      </c>
      <c r="J10" s="5">
        <f>$E10*$F10*G10</f>
        <v/>
      </c>
      <c r="K10" s="36">
        <f>$E10*$F10*H10</f>
        <v/>
      </c>
      <c r="L10" s="5">
        <f>$E10*$F10*I10</f>
        <v/>
      </c>
      <c r="M10" s="4" t="inlineStr">
        <is>
          <t>Media</t>
        </is>
      </c>
      <c r="N10" s="6" t="inlineStr">
        <is>
          <t>201 MB ocupados hoy. Los 100 GB son margen para el snapshot siguiente y los PDFs, que crecen sin poda.</t>
        </is>
      </c>
    </row>
    <row r="11">
      <c r="A11" s="4" t="inlineStr">
        <is>
          <t>Almacenamiento</t>
        </is>
      </c>
      <c r="B11" s="4" t="inlineStr">
        <is>
          <t>OBS Standard</t>
        </is>
      </c>
      <c r="C11" s="4" t="inlineStr">
        <is>
          <t>PDFs + snapshot + pesos de bge-m3 (~20 GB)</t>
        </is>
      </c>
      <c r="D11" s="4" t="inlineStr">
        <is>
          <t>US$/GB-mes</t>
        </is>
      </c>
      <c r="E11" s="4" t="n">
        <v>20</v>
      </c>
      <c r="F11" s="4" t="n">
        <v>1</v>
      </c>
      <c r="G11" s="35" t="n">
        <v>0.019</v>
      </c>
      <c r="H11" s="35" t="n">
        <v>0.024</v>
      </c>
      <c r="I11" s="35" t="n">
        <v>0.03</v>
      </c>
      <c r="J11" s="5">
        <f>$E11*$F11*G11</f>
        <v/>
      </c>
      <c r="K11" s="36">
        <f>$E11*$F11*H11</f>
        <v/>
      </c>
      <c r="L11" s="5">
        <f>$E11*$F11*I11</f>
        <v/>
      </c>
      <c r="M11" s="4" t="inlineStr">
        <is>
          <t>Media</t>
        </is>
      </c>
      <c r="N11" s="6" t="inlineStr">
        <is>
          <t>Fuente de verdad con versionado activado: reconstruir el nodo son tres obsutil sync, no un reindexado de horas.</t>
        </is>
      </c>
    </row>
    <row r="12">
      <c r="A12" s="4" t="inlineStr">
        <is>
          <t>Almacenamiento</t>
        </is>
      </c>
      <c r="B12" s="4" t="inlineStr">
        <is>
          <t>OBS peticiones y salida</t>
        </is>
      </c>
      <c r="C12" s="4" t="inlineStr">
        <is>
          <t>Volumen bajo: demo y sincronización del nodo</t>
        </is>
      </c>
      <c r="D12" s="4" t="inlineStr">
        <is>
          <t>US$/mes</t>
        </is>
      </c>
      <c r="E12" s="4" t="n">
        <v>1</v>
      </c>
      <c r="F12" s="4" t="n">
        <v>1</v>
      </c>
      <c r="G12" s="35" t="n">
        <v>0.5</v>
      </c>
      <c r="H12" s="35" t="n">
        <v>1</v>
      </c>
      <c r="I12" s="35" t="n">
        <v>2</v>
      </c>
      <c r="J12" s="5">
        <f>$E12*$F12*G12</f>
        <v/>
      </c>
      <c r="K12" s="36">
        <f>$E12*$F12*H12</f>
        <v/>
      </c>
      <c r="L12" s="5">
        <f>$E12*$F12*I12</f>
        <v/>
      </c>
      <c r="M12" s="4" t="inlineStr">
        <is>
          <t>Baja</t>
        </is>
      </c>
      <c r="N12" s="6" t="inlineStr">
        <is>
          <t>Se cobra por cada 10.000 peticiones y por tráfico saliente. Es una de las dos líneas con confianza baja del libro.</t>
        </is>
      </c>
    </row>
    <row r="13">
      <c r="A13" s="4" t="inlineStr">
        <is>
          <t>Almacenamiento</t>
        </is>
      </c>
      <c r="B13" s="4" t="inlineStr">
        <is>
          <t>CBR — respaldo del disco</t>
        </is>
      </c>
      <c r="C13" s="4" t="inlineStr">
        <is>
          <t>Copia diaria de /data, retención 7 días</t>
        </is>
      </c>
      <c r="D13" s="4" t="inlineStr">
        <is>
          <t>US$/GB-mes</t>
        </is>
      </c>
      <c r="E13" s="4" t="n">
        <v>100</v>
      </c>
      <c r="F13" s="4" t="n">
        <v>1</v>
      </c>
      <c r="G13" s="35" t="n">
        <v>0.05</v>
      </c>
      <c r="H13" s="35" t="n">
        <v>0.06</v>
      </c>
      <c r="I13" s="35" t="n">
        <v>0.08</v>
      </c>
      <c r="J13" s="5">
        <f>$E13*$F13*G13</f>
        <v/>
      </c>
      <c r="K13" s="36">
        <f>$E13*$F13*H13</f>
        <v/>
      </c>
      <c r="L13" s="5">
        <f>$E13*$F13*I13</f>
        <v/>
      </c>
      <c r="M13" s="4" t="inlineStr">
        <is>
          <t>Media</t>
        </is>
      </c>
      <c r="N13" s="6" t="inlineStr">
        <is>
          <t>Con el backup de RDS cubre el RPO ≤ 24 h / RTO ≤ 4 h del ADR-003. Probar una restauración antes del CDR.</t>
        </is>
      </c>
    </row>
    <row r="14">
      <c r="A14" s="4" t="inlineStr">
        <is>
          <t>Red</t>
        </is>
      </c>
      <c r="B14" s="4" t="inlineStr">
        <is>
          <t>EIP — cargo por IP</t>
        </is>
      </c>
      <c r="C14" s="4" t="inlineStr">
        <is>
          <t>1 IP elástica asociada al ECS</t>
        </is>
      </c>
      <c r="D14" s="4" t="inlineStr">
        <is>
          <t>US$/hora</t>
        </is>
      </c>
      <c r="E14" s="4" t="n">
        <v>1</v>
      </c>
      <c r="F14" s="4">
        <f>Parametros!$B$6</f>
        <v/>
      </c>
      <c r="G14" s="35" t="n">
        <v>0.005</v>
      </c>
      <c r="H14" s="35" t="n">
        <v>0.007</v>
      </c>
      <c r="I14" s="35" t="n">
        <v>0.01</v>
      </c>
      <c r="J14" s="5">
        <f>$E14*$F14*G14</f>
        <v/>
      </c>
      <c r="K14" s="36">
        <f>$E14*$F14*H14</f>
        <v/>
      </c>
      <c r="L14" s="5">
        <f>$E14*$F14*I14</f>
        <v/>
      </c>
      <c r="M14" s="4" t="inlineStr">
        <is>
          <t>Media</t>
        </is>
      </c>
      <c r="N14" s="6" t="inlineStr">
        <is>
          <t>El cargo por IP es aparte del tráfico. Calculator → EIP → Pay-per-use por tráfico.</t>
        </is>
      </c>
    </row>
    <row r="15">
      <c r="A15" s="4" t="inlineStr">
        <is>
          <t>Red</t>
        </is>
      </c>
      <c r="B15" s="4" t="inlineStr">
        <is>
          <t>Tráfico saliente</t>
        </is>
      </c>
      <c r="C15" s="4" t="inlineStr">
        <is>
          <t>SPA, API y descarga de PDFs</t>
        </is>
      </c>
      <c r="D15" s="4" t="inlineStr">
        <is>
          <t>US$/GB</t>
        </is>
      </c>
      <c r="E15" s="4" t="n">
        <v>1</v>
      </c>
      <c r="F15" s="4">
        <f>Parametros!$B$14</f>
        <v/>
      </c>
      <c r="G15" s="35" t="n">
        <v>0.08</v>
      </c>
      <c r="H15" s="35" t="n">
        <v>0.09</v>
      </c>
      <c r="I15" s="35" t="n">
        <v>0.12</v>
      </c>
      <c r="J15" s="5">
        <f>$E15*$F15*G15</f>
        <v/>
      </c>
      <c r="K15" s="36">
        <f>$E15*$F15*H15</f>
        <v/>
      </c>
      <c r="L15" s="5">
        <f>$E15*$F15*I15</f>
        <v/>
      </c>
      <c r="M15" s="4" t="inlineStr">
        <is>
          <t>Media</t>
        </is>
      </c>
      <c r="N15" s="6" t="inlineStr">
        <is>
          <t>El tráfico ENTRANTE no se cobra: descargar 15,4 GiB de Open Food Facts cada mes es gratis. Solo se paga la salida.</t>
        </is>
      </c>
    </row>
    <row r="16">
      <c r="A16" s="4" t="inlineStr">
        <is>
          <t>Operación</t>
        </is>
      </c>
      <c r="B16" s="4" t="inlineStr">
        <is>
          <t>LTS — logs</t>
        </is>
      </c>
      <c r="C16" s="4" t="inlineStr">
        <is>
          <t>nginx + contenedor, ~2 GB/mes, retención 7 días</t>
        </is>
      </c>
      <c r="D16" s="4" t="inlineStr">
        <is>
          <t>US$/GB</t>
        </is>
      </c>
      <c r="E16" s="4" t="n">
        <v>1</v>
      </c>
      <c r="F16" s="4" t="n">
        <v>2</v>
      </c>
      <c r="G16" s="35" t="n">
        <v>0.3</v>
      </c>
      <c r="H16" s="35" t="n">
        <v>0.4</v>
      </c>
      <c r="I16" s="35" t="n">
        <v>0.5</v>
      </c>
      <c r="J16" s="5">
        <f>$E16*$F16*G16</f>
        <v/>
      </c>
      <c r="K16" s="36">
        <f>$E16*$F16*H16</f>
        <v/>
      </c>
      <c r="L16" s="5">
        <f>$E16*$F16*I16</f>
        <v/>
      </c>
      <c r="M16" s="4" t="inlineStr">
        <is>
          <t>Baja</t>
        </is>
      </c>
      <c r="N16" s="6" t="inlineStr">
        <is>
          <t>Suele haber cuota gratuita mensual de ingesta: comprobarla antes de presupuestar.</t>
        </is>
      </c>
    </row>
    <row r="17">
      <c r="A17" s="4" t="inlineStr">
        <is>
          <t>Operación</t>
        </is>
      </c>
      <c r="B17" s="4" t="inlineStr">
        <is>
          <t>CES + SMN — alarmas</t>
        </is>
      </c>
      <c r="C17" s="4" t="inlineStr">
        <is>
          <t>5 alarmas con aviso por correo</t>
        </is>
      </c>
      <c r="D17" s="4" t="inlineStr">
        <is>
          <t>US$/mes</t>
        </is>
      </c>
      <c r="E17" s="4" t="n">
        <v>1</v>
      </c>
      <c r="F17" s="4" t="n">
        <v>1</v>
      </c>
      <c r="G17" s="35" t="n">
        <v>0</v>
      </c>
      <c r="H17" s="35" t="n">
        <v>0</v>
      </c>
      <c r="I17" s="35" t="n">
        <v>1</v>
      </c>
      <c r="J17" s="5">
        <f>$E17*$F17*G17</f>
        <v/>
      </c>
      <c r="K17" s="36">
        <f>$E17*$F17*H17</f>
        <v/>
      </c>
      <c r="L17" s="5">
        <f>$E17*$F17*I17</f>
        <v/>
      </c>
      <c r="M17" s="4" t="inlineStr">
        <is>
          <t>Media</t>
        </is>
      </c>
      <c r="N17" s="6" t="inlineStr">
        <is>
          <t>CPU, memoria (el recurso escaso), disco de /data, instancia caída y conexiones de RDS.</t>
        </is>
      </c>
    </row>
    <row r="18">
      <c r="A18" s="4" t="inlineStr">
        <is>
          <t>Operación</t>
        </is>
      </c>
      <c r="B18" s="4" t="inlineStr">
        <is>
          <t>DAS — consola SQL</t>
        </is>
      </c>
      <c r="C18" s="4" t="inlineStr">
        <is>
          <t>Acceso a RDS desde el navegador</t>
        </is>
      </c>
      <c r="D18" s="4" t="inlineStr">
        <is>
          <t>US$/mes</t>
        </is>
      </c>
      <c r="E18" s="4" t="n">
        <v>1</v>
      </c>
      <c r="F18" s="4" t="n">
        <v>1</v>
      </c>
      <c r="G18" s="35" t="n">
        <v>0</v>
      </c>
      <c r="H18" s="35" t="n">
        <v>0</v>
      </c>
      <c r="I18" s="35" t="n">
        <v>0</v>
      </c>
      <c r="J18" s="5">
        <f>$E18*$F18*G18</f>
        <v/>
      </c>
      <c r="K18" s="36">
        <f>$E18*$F18*H18</f>
        <v/>
      </c>
      <c r="L18" s="5">
        <f>$E18*$F18*I18</f>
        <v/>
      </c>
      <c r="M18" s="4" t="inlineStr">
        <is>
          <t>Media</t>
        </is>
      </c>
      <c r="N18" s="6" t="inlineStr">
        <is>
          <t>La edición estándar es gratuita. Sustituye al SQL Editor de Supabase.</t>
        </is>
      </c>
    </row>
    <row r="19">
      <c r="A19" s="4" t="inlineStr">
        <is>
          <t>Operación</t>
        </is>
      </c>
      <c r="B19" s="4" t="inlineStr">
        <is>
          <t>SCM — certificado TLS</t>
        </is>
      </c>
      <c r="C19" s="4" t="inlineStr">
        <is>
          <t>Certificado de dominio único</t>
        </is>
      </c>
      <c r="D19" s="4" t="inlineStr">
        <is>
          <t>US$/mes</t>
        </is>
      </c>
      <c r="E19" s="4" t="n">
        <v>1</v>
      </c>
      <c r="F19" s="4" t="n">
        <v>1</v>
      </c>
      <c r="G19" s="35" t="n">
        <v>0</v>
      </c>
      <c r="H19" s="35" t="n">
        <v>0</v>
      </c>
      <c r="I19" s="35" t="n">
        <v>0</v>
      </c>
      <c r="J19" s="5">
        <f>$E19*$F19*G19</f>
        <v/>
      </c>
      <c r="K19" s="36">
        <f>$E19*$F19*H19</f>
        <v/>
      </c>
      <c r="L19" s="5">
        <f>$E19*$F19*I19</f>
        <v/>
      </c>
      <c r="M19" s="4" t="inlineStr">
        <is>
          <t>Media</t>
        </is>
      </c>
      <c r="N19" s="6" t="inlineStr">
        <is>
          <t>Hay certificado gratuito. Alternativa sin coste: Let's Encrypt en el propio nginx.</t>
        </is>
      </c>
    </row>
    <row r="20">
      <c r="A20" s="4" t="inlineStr">
        <is>
          <t>Operación</t>
        </is>
      </c>
      <c r="B20" s="4" t="inlineStr">
        <is>
          <t>DNS — zona pública</t>
        </is>
      </c>
      <c r="C20" s="4" t="inlineStr">
        <is>
          <t>1 zona alojada</t>
        </is>
      </c>
      <c r="D20" s="4" t="inlineStr">
        <is>
          <t>US$/mes</t>
        </is>
      </c>
      <c r="E20" s="4" t="n">
        <v>1</v>
      </c>
      <c r="F20" s="4" t="n">
        <v>1</v>
      </c>
      <c r="G20" s="35" t="n">
        <v>0.5</v>
      </c>
      <c r="H20" s="35" t="n">
        <v>0.5</v>
      </c>
      <c r="I20" s="35" t="n">
        <v>0.5</v>
      </c>
      <c r="J20" s="5">
        <f>$E20*$F20*G20</f>
        <v/>
      </c>
      <c r="K20" s="36">
        <f>$E20*$F20*H20</f>
        <v/>
      </c>
      <c r="L20" s="5">
        <f>$E20*$F20*I20</f>
        <v/>
      </c>
      <c r="M20" s="4" t="inlineStr">
        <is>
          <t>Media</t>
        </is>
      </c>
      <c r="N20" s="6" t="inlineStr">
        <is>
          <t>No incluye el registro del dominio, que va en la hoja Suscripciones.</t>
        </is>
      </c>
    </row>
    <row r="21">
      <c r="A21" s="4" t="inlineStr">
        <is>
          <t>Ingesta</t>
        </is>
      </c>
      <c r="B21" s="4" t="inlineStr">
        <is>
          <t>ECS con GPU por horas</t>
        </is>
      </c>
      <c r="C21" s="4" t="inlineStr">
        <is>
          <t>1 h por trimestre para reindexar con bge-m3</t>
        </is>
      </c>
      <c r="D21" s="4" t="inlineStr">
        <is>
          <t>US$/mes</t>
        </is>
      </c>
      <c r="E21" s="4" t="n">
        <v>1</v>
      </c>
      <c r="F21" s="4" t="n">
        <v>1</v>
      </c>
      <c r="G21" s="35" t="n">
        <v>0.5</v>
      </c>
      <c r="H21" s="35" t="n">
        <v>0.7</v>
      </c>
      <c r="I21" s="35" t="n">
        <v>1.5</v>
      </c>
      <c r="J21" s="5">
        <f>$E21*$F21*G21</f>
        <v/>
      </c>
      <c r="K21" s="36">
        <f>$E21*$F21*H21</f>
        <v/>
      </c>
      <c r="L21" s="5">
        <f>$E21*$F21*I21</f>
        <v/>
      </c>
      <c r="M21" s="4" t="inlineStr">
        <is>
          <t>Baja</t>
        </is>
      </c>
      <c r="N21" s="6" t="inlineStr">
        <is>
          <t>MEDIDO: 15-30 min con GPU contra 2-3 h en CPU para 29.054 productos. Encender una instancia con GPU una hora por trimestre cuesta ~US$ 8 al año y saca la ingesta del portátil, que hoy es la única pieza fuera de la nube.</t>
        </is>
      </c>
    </row>
    <row r="23">
      <c r="A23" s="12" t="inlineStr">
        <is>
          <t>SUBTOTALES POR CATEGORÍA</t>
        </is>
      </c>
    </row>
    <row r="24">
      <c r="B24" s="4" t="inlineStr">
        <is>
          <t>Cómputo</t>
        </is>
      </c>
      <c r="J24" s="5">
        <f>SUMIF($A$5:$A$21,$B24,J$5:J$21)</f>
        <v/>
      </c>
      <c r="K24" s="5">
        <f>SUMIF($A$5:$A$21,$B24,K$5:K$21)</f>
        <v/>
      </c>
      <c r="L24" s="5">
        <f>SUMIF($A$5:$A$21,$B24,L$5:L$21)</f>
        <v/>
      </c>
    </row>
    <row r="25">
      <c r="B25" s="4" t="inlineStr">
        <is>
          <t>Base de datos</t>
        </is>
      </c>
      <c r="J25" s="5">
        <f>SUMIF($A$5:$A$21,$B25,J$5:J$21)</f>
        <v/>
      </c>
      <c r="K25" s="5">
        <f>SUMIF($A$5:$A$21,$B25,K$5:K$21)</f>
        <v/>
      </c>
      <c r="L25" s="5">
        <f>SUMIF($A$5:$A$21,$B25,L$5:L$21)</f>
        <v/>
      </c>
    </row>
    <row r="26">
      <c r="B26" s="4" t="inlineStr">
        <is>
          <t>Almacenamiento</t>
        </is>
      </c>
      <c r="J26" s="5">
        <f>SUMIF($A$5:$A$21,$B26,J$5:J$21)</f>
        <v/>
      </c>
      <c r="K26" s="5">
        <f>SUMIF($A$5:$A$21,$B26,K$5:K$21)</f>
        <v/>
      </c>
      <c r="L26" s="5">
        <f>SUMIF($A$5:$A$21,$B26,L$5:L$21)</f>
        <v/>
      </c>
    </row>
    <row r="27">
      <c r="B27" s="4" t="inlineStr">
        <is>
          <t>Red</t>
        </is>
      </c>
      <c r="J27" s="5">
        <f>SUMIF($A$5:$A$21,$B27,J$5:J$21)</f>
        <v/>
      </c>
      <c r="K27" s="5">
        <f>SUMIF($A$5:$A$21,$B27,K$5:K$21)</f>
        <v/>
      </c>
      <c r="L27" s="5">
        <f>SUMIF($A$5:$A$21,$B27,L$5:L$21)</f>
        <v/>
      </c>
    </row>
    <row r="28">
      <c r="B28" s="4" t="inlineStr">
        <is>
          <t>Operación</t>
        </is>
      </c>
      <c r="J28" s="5">
        <f>SUMIF($A$5:$A$21,$B28,J$5:J$21)</f>
        <v/>
      </c>
      <c r="K28" s="5">
        <f>SUMIF($A$5:$A$21,$B28,K$5:K$21)</f>
        <v/>
      </c>
      <c r="L28" s="5">
        <f>SUMIF($A$5:$A$21,$B28,L$5:L$21)</f>
        <v/>
      </c>
    </row>
    <row r="29">
      <c r="B29" s="4" t="inlineStr">
        <is>
          <t>Ingesta</t>
        </is>
      </c>
      <c r="J29" s="5">
        <f>SUMIF($A$5:$A$21,$B29,J$5:J$21)</f>
        <v/>
      </c>
      <c r="K29" s="5">
        <f>SUMIF($A$5:$A$21,$B29,K$5:K$21)</f>
        <v/>
      </c>
      <c r="L29" s="5">
        <f>SUMIF($A$5:$A$21,$B29,L$5:L$21)</f>
        <v/>
      </c>
    </row>
    <row r="31">
      <c r="B31" s="7" t="inlineStr">
        <is>
          <t>TOTAL INFRAESTRUCTURA (mes, sin MongoDB)</t>
        </is>
      </c>
      <c r="J31" s="8">
        <f>SUM(J24:J29)</f>
        <v/>
      </c>
      <c r="K31" s="8">
        <f>SUM(K24:K29)</f>
        <v/>
      </c>
      <c r="L31" s="8">
        <f>SUM(L24:L29)</f>
        <v/>
      </c>
    </row>
    <row r="32">
      <c r="B32" s="9" t="inlineStr">
        <is>
          <t>+ MongoDB para Open Food Facts (opción elegida)</t>
        </is>
      </c>
      <c r="J32" s="11">
        <f>'MongoDB-OFF'!$D$89</f>
        <v/>
      </c>
      <c r="K32" s="11">
        <f>'MongoDB-OFF'!$E$89</f>
        <v/>
      </c>
      <c r="L32" s="11">
        <f>'MongoDB-OFF'!$F$89</f>
        <v/>
      </c>
    </row>
    <row r="33">
      <c r="B33" s="7" t="inlineStr">
        <is>
          <t>TOTAL CON MongoDB (mes)</t>
        </is>
      </c>
      <c r="J33" s="8">
        <f>J31+J32</f>
        <v/>
      </c>
      <c r="K33" s="8">
        <f>K31+K32</f>
        <v/>
      </c>
      <c r="L33" s="8">
        <f>L31+L32</f>
        <v/>
      </c>
    </row>
    <row r="35">
      <c r="A35" s="12" t="inlineStr">
        <is>
          <t>Lo que deliberadamente NO se contrata, y qué lo dispararía</t>
        </is>
      </c>
    </row>
    <row r="36" ht="30" customHeight="1">
      <c r="A36" s="3" t="inlineStr">
        <is>
          <t>Servicio</t>
        </is>
      </c>
      <c r="B36" s="3" t="inlineStr">
        <is>
          <t>Por qué no ahora</t>
        </is>
      </c>
      <c r="C36" s="3" t="n"/>
      <c r="D36" s="3" t="n"/>
      <c r="E36" s="3" t="n"/>
      <c r="F36" s="3" t="n"/>
      <c r="G36" s="3" t="n"/>
      <c r="H36" s="3" t="n"/>
      <c r="I36" s="3" t="n"/>
      <c r="J36" s="3" t="n"/>
      <c r="K36" s="3" t="n"/>
      <c r="L36" s="3" t="n"/>
      <c r="M36" s="3" t="n"/>
      <c r="N36" s="3" t="inlineStr">
        <is>
          <t>Disparador que lo haría entrar</t>
        </is>
      </c>
    </row>
    <row r="37">
      <c r="A37" s="4" t="inlineStr">
        <is>
          <t>CCE / CCI (Kubernetes)</t>
        </is>
      </c>
      <c r="B37" s="6" t="inlineStr">
        <is>
          <t>Un contenedor no necesita un orquestador: es operación sin un cuello que resolver.</t>
        </is>
      </c>
      <c r="N37" s="6" t="inlineStr">
        <is>
          <t>Nunca, mientras sea una imagen y una instancia.</t>
        </is>
      </c>
    </row>
    <row r="38">
      <c r="A38" s="4" t="inlineStr">
        <is>
          <t>ELB (balanceador)</t>
        </is>
      </c>
      <c r="B38" s="6" t="inlineStr">
        <is>
          <t>Una sola instancia no balancea nada.</t>
        </is>
      </c>
      <c r="N38" s="6" t="inlineStr">
        <is>
          <t>Cuando haya 2 réplicas de la API, es decir, cuando la p95 o la CPU se sostengan altas.</t>
        </is>
      </c>
    </row>
    <row r="39">
      <c r="A39" s="4" t="inlineStr">
        <is>
          <t>FunctionGraph (serverless)</t>
        </is>
      </c>
      <c r="B39" s="6" t="inlineStr">
        <is>
          <t>2,3 GB de modelo no caben en un arranque en frío.</t>
        </is>
      </c>
      <c r="N39" s="6" t="inlineStr">
        <is>
          <t>Nunca para la API. Sí para tareas cortas del ETL.</t>
        </is>
      </c>
    </row>
    <row r="40">
      <c r="A40" s="4" t="inlineStr">
        <is>
          <t>DCS / Redis</t>
        </is>
      </c>
      <c r="B40" s="6" t="inlineStr">
        <is>
          <t>La cola va sobre Postgres (ADR-003) y el cache de LLM también.</t>
        </is>
      </c>
      <c r="N40" s="6" t="inlineStr">
        <is>
          <t>S10, si el cache de búsquedas deja de caber en proceso.</t>
        </is>
      </c>
    </row>
    <row r="41">
      <c r="A41" s="4" t="inlineStr">
        <is>
          <t>WAF y CDN</t>
        </is>
      </c>
      <c r="B41" s="6" t="inlineStr">
        <is>
          <t>Tráfico de demo, usuarios todos en Perú.</t>
        </is>
      </c>
      <c r="N41" s="6" t="inlineStr">
        <is>
          <t>Servicio institucional expuesto a internet con datos de terceros.</t>
        </is>
      </c>
    </row>
    <row r="42">
      <c r="A42" s="4" t="inlineStr">
        <is>
          <t>NAT Gateway</t>
        </is>
      </c>
      <c r="B42" s="6" t="inlineStr">
        <is>
          <t>El agente web no está en el MVP.</t>
        </is>
      </c>
      <c r="N42" s="6" t="inlineStr">
        <is>
          <t>Fase F4: el agente necesita IP fija para identificarse ante las tiendas y respetar rate-limits.</t>
        </is>
      </c>
    </row>
    <row r="43">
      <c r="A43" s="4" t="inlineStr">
        <is>
          <t>RDS en alta disponibilidad</t>
        </is>
      </c>
      <c r="B43" s="6" t="inlineStr">
        <is>
          <t>Duplica el precio de la base y el MVP tolera una ventana de restauración.</t>
        </is>
      </c>
      <c r="N43" s="6" t="inlineStr">
        <is>
          <t>Cuando el MVP pase a servicio real con compromiso de disponibilidad.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showGridLines="0" workbookViewId="0">
      <pane ySplit="4" topLeftCell="A5" activePane="bottomLeft" state="frozen"/>
      <selection pane="bottomLeft" activeCell="A1" sqref="A1"/>
    </sheetView>
  </sheetViews>
  <sheetFormatPr baseColWidth="8" defaultRowHeight="15"/>
  <cols>
    <col width="10" customWidth="1" min="1" max="1"/>
    <col width="44" customWidth="1" min="2" max="2"/>
    <col width="18" customWidth="1" min="3" max="3"/>
    <col width="16" customWidth="1" min="4" max="4"/>
    <col width="16" customWidth="1" min="5" max="5"/>
    <col width="16" customWidth="1" min="6" max="6"/>
    <col width="14" customWidth="1" min="7" max="7"/>
    <col width="14" customWidth="1" min="8" max="8"/>
    <col width="66" customWidth="1" min="9" max="9"/>
  </cols>
  <sheetData>
    <row r="1">
      <c r="A1" s="1" t="inlineStr">
        <is>
          <t>MongoDB para Open Food Facts — dimensionado</t>
        </is>
      </c>
    </row>
    <row r="2">
      <c r="A2" s="2" t="inlineStr">
        <is>
          <t>Todas las cifras del bloque A y B están MEDIDAS contra world.openfoodfacts.org/data el 2026-08-14. Nada aquí es una analogía con otro proyecto.</t>
        </is>
      </c>
    </row>
    <row r="4">
      <c r="A4" s="12" t="inlineStr">
        <is>
          <t>A · LO QUE OPEN FOOD FACTS PUBLICA HOY  (medido por HTTP el 2026-08-14)</t>
        </is>
      </c>
    </row>
    <row r="5" ht="30" customHeight="1">
      <c r="A5" s="3" t="inlineStr"/>
      <c r="B5" s="3" t="inlineStr">
        <is>
          <t>Recurso</t>
        </is>
      </c>
      <c r="C5" s="3" t="inlineStr">
        <is>
          <t>Formato</t>
        </is>
      </c>
      <c r="D5" s="3" t="inlineStr">
        <is>
          <t>Bytes</t>
        </is>
      </c>
      <c r="E5" s="3" t="inlineStr">
        <is>
          <t>GiB</t>
        </is>
      </c>
      <c r="F5" s="3" t="inlineStr">
        <is>
          <t>GB (decimal)</t>
        </is>
      </c>
      <c r="G5" s="3" t="inlineStr"/>
      <c r="H5" s="3" t="inlineStr"/>
      <c r="I5" s="3" t="inlineStr">
        <is>
          <t>Cómo se midió</t>
        </is>
      </c>
    </row>
    <row r="6">
      <c r="A6" s="4" t="inlineStr"/>
      <c r="B6" s="4" t="inlineStr">
        <is>
          <t>Productos en la base</t>
        </is>
      </c>
      <c r="C6" s="4" t="inlineStr">
        <is>
          <t>—</t>
        </is>
      </c>
      <c r="D6" s="20" t="n">
        <v>4680925</v>
      </c>
      <c r="I6" s="6" t="inlineStr">
        <is>
          <t>API v2: /api/v2/search?page_size=1 devuelve "count":4680925. Es el universo entero, no una muestra.</t>
        </is>
      </c>
    </row>
    <row r="7">
      <c r="A7" s="4" t="inlineStr"/>
      <c r="B7" s="4" t="inlineStr">
        <is>
          <t>Volcado MongoDB (openfoodfacts-mongodbdump.gz)</t>
        </is>
      </c>
      <c r="C7" s="4" t="inlineStr">
        <is>
          <t>BSON comprimido</t>
        </is>
      </c>
      <c r="D7" s="20" t="n">
        <v>15429978249</v>
      </c>
      <c r="E7" s="37">
        <f>D7/1024^3</f>
        <v/>
      </c>
      <c r="F7" s="37">
        <f>D7/10^9</f>
        <v/>
      </c>
      <c r="I7" s="6" t="inlineStr">
        <is>
          <t>HEAD sobre static.openfoodfacts.org. Last-Modified: 2026-08-14 06:20 UTC. Se regenera cada noche.</t>
        </is>
      </c>
    </row>
    <row r="8">
      <c r="A8" s="4" t="inlineStr"/>
      <c r="B8" s="4" t="inlineStr">
        <is>
          <t>Export JSONL (openfoodfacts-products.jsonl.gz)</t>
        </is>
      </c>
      <c r="C8" s="4" t="inlineStr">
        <is>
          <t>JSON por línea, gzip</t>
        </is>
      </c>
      <c r="D8" s="20" t="n">
        <v>12672091473</v>
      </c>
      <c r="E8" s="37">
        <f>D8/1024^3</f>
        <v/>
      </c>
      <c r="F8" s="37">
        <f>D8/10^9</f>
        <v/>
      </c>
      <c r="I8" s="6" t="inlineStr">
        <is>
          <t>HEAD, misma fecha. Un objeto JSON por línea; es lo que conviene si se va a proyectar al importar.</t>
        </is>
      </c>
    </row>
    <row r="9">
      <c r="A9" s="4" t="inlineStr"/>
      <c r="B9" s="4" t="inlineStr">
        <is>
          <t>Export CSV (en.openfoodfacts.org.products.csv.gz)</t>
        </is>
      </c>
      <c r="C9" s="4" t="inlineStr">
        <is>
          <t>TSV comprimido</t>
        </is>
      </c>
      <c r="D9" s="20" t="n">
        <v>1275171186</v>
      </c>
      <c r="E9" s="37">
        <f>D9/1024^3</f>
        <v/>
      </c>
      <c r="F9" s="37">
        <f>D9/10^9</f>
        <v/>
      </c>
      <c r="I9" s="6" t="inlineStr">
        <is>
          <t>HEAD, 2026-08-14 11:43 UTC. Es el que usa hoy etl/cargar_off_bulk.py. Trae un subconjunto plano de campos: NO sirve para MongoDB.</t>
        </is>
      </c>
    </row>
    <row r="10">
      <c r="A10" s="4" t="inlineStr"/>
      <c r="B10" s="4" t="inlineStr">
        <is>
          <t>Delta diario (1 de los 14 disponibles)</t>
        </is>
      </c>
      <c r="C10" s="4" t="inlineStr">
        <is>
          <t>JSONL comprimido</t>
        </is>
      </c>
      <c r="D10" s="20" t="n">
        <v>23825449</v>
      </c>
      <c r="E10" s="37">
        <f>D10/1024^3</f>
        <v/>
      </c>
      <c r="F10" s="37">
        <f>D10/10^9</f>
        <v/>
      </c>
      <c r="I10" s="6" t="inlineStr">
        <is>
          <t>openfoodfacts_products_1786342032_1786428017.json.gz. OFF mantiene los 14 últimos días.</t>
        </is>
      </c>
    </row>
    <row r="12">
      <c r="A12" s="12" t="inlineStr">
        <is>
          <t>B · ANATOMÍA DEL DOCUMENTO  (medido descomprimiendo un delta real: 6.487 documentos)</t>
        </is>
      </c>
    </row>
    <row r="13" ht="30" customHeight="1">
      <c r="A13" s="3" t="inlineStr"/>
      <c r="B13" s="3" t="inlineStr">
        <is>
          <t>Medida</t>
        </is>
      </c>
      <c r="C13" s="3" t="inlineStr"/>
      <c r="D13" s="3" t="inlineStr">
        <is>
          <t>Valor</t>
        </is>
      </c>
      <c r="E13" s="3" t="inlineStr">
        <is>
          <t>Unidad</t>
        </is>
      </c>
      <c r="F13" s="3" t="inlineStr"/>
      <c r="G13" s="3" t="inlineStr"/>
      <c r="H13" s="3" t="inlineStr"/>
      <c r="I13" s="3" t="inlineStr">
        <is>
          <t>Qué significa</t>
        </is>
      </c>
    </row>
    <row r="14">
      <c r="A14" s="4" t="inlineStr"/>
      <c r="B14" s="4" t="inlineStr">
        <is>
          <t>Documentos en el delta analizado</t>
        </is>
      </c>
      <c r="C14" s="4" t="inlineStr"/>
      <c r="D14" s="20" t="n">
        <v>6487</v>
      </c>
      <c r="E14" s="4" t="inlineStr">
        <is>
          <t>docs</t>
        </is>
      </c>
      <c r="I14" s="6" t="inlineStr">
        <is>
          <t>Productos creados o modificados en 24 h. Es también la tasa de cambio diaria de la base.</t>
        </is>
      </c>
    </row>
    <row r="15">
      <c r="A15" s="4" t="inlineStr"/>
      <c r="B15" s="4" t="inlineStr">
        <is>
          <t>Bytes sin comprimir del delta</t>
        </is>
      </c>
      <c r="C15" s="4" t="inlineStr"/>
      <c r="D15" s="20" t="n">
        <v>142934814</v>
      </c>
      <c r="E15" s="4" t="inlineStr">
        <is>
          <t>bytes</t>
        </is>
      </c>
      <c r="I15" s="6" t="inlineStr">
        <is>
          <t>136,3 MB. Descomprimido y contado línea a línea.</t>
        </is>
      </c>
    </row>
    <row r="16">
      <c r="A16" s="4" t="inlineStr"/>
      <c r="B16" s="4" t="inlineStr">
        <is>
          <t>Ratio de compresión gzip</t>
        </is>
      </c>
      <c r="C16" s="4" t="inlineStr"/>
      <c r="D16" s="38">
        <f>D15/D10</f>
        <v/>
      </c>
      <c r="E16" s="4" t="inlineStr">
        <is>
          <t>×</t>
        </is>
      </c>
      <c r="I16" s="6" t="inlineStr">
        <is>
          <t>Seis a uno. Este número es la clave para pasar de los tamaños publicados al tamaño real en disco.</t>
        </is>
      </c>
    </row>
    <row r="17">
      <c r="A17" s="4" t="inlineStr"/>
      <c r="B17" s="4" t="inlineStr">
        <is>
          <t>Documento medio (JSON)</t>
        </is>
      </c>
      <c r="C17" s="4" t="inlineStr"/>
      <c r="D17" s="20" t="n">
        <v>23906</v>
      </c>
      <c r="E17" s="4" t="inlineStr">
        <is>
          <t>bytes</t>
        </is>
      </c>
      <c r="I17" s="6" t="inlineStr">
        <is>
          <t>23,3 KiB. Un producto de OFF NO es un registro pequeño.</t>
        </is>
      </c>
    </row>
    <row r="18">
      <c r="A18" s="4" t="inlineStr"/>
      <c r="B18" s="4" t="inlineStr">
        <is>
          <t>Documento mediano (JSON)</t>
        </is>
      </c>
      <c r="C18" s="4" t="inlineStr"/>
      <c r="D18" s="20" t="n">
        <v>15802</v>
      </c>
      <c r="E18" s="4" t="inlineStr">
        <is>
          <t>bytes</t>
        </is>
      </c>
      <c r="I18" s="6" t="inlineStr">
        <is>
          <t>La distribución tiene cola larga: la media es 1,5× la mediana.</t>
        </is>
      </c>
    </row>
    <row r="19">
      <c r="A19" s="4" t="inlineStr"/>
      <c r="B19" s="4" t="inlineStr">
        <is>
          <t>Percentil 95</t>
        </is>
      </c>
      <c r="C19" s="4" t="inlineStr"/>
      <c r="D19" s="20" t="n">
        <v>50215</v>
      </c>
      <c r="E19" s="4" t="inlineStr">
        <is>
          <t>bytes</t>
        </is>
      </c>
      <c r="I19" s="6" t="inlineStr">
        <is>
          <t>Uno de cada veinte productos pasa de 49 KiB.</t>
        </is>
      </c>
    </row>
    <row r="20">
      <c r="A20" s="4" t="inlineStr"/>
      <c r="B20" s="4" t="inlineStr">
        <is>
          <t>Documento más grande del delta</t>
        </is>
      </c>
      <c r="C20" s="4" t="inlineStr"/>
      <c r="D20" s="20" t="n">
        <v>446123</v>
      </c>
      <c r="E20" s="4" t="inlineStr">
        <is>
          <t>bytes</t>
        </is>
      </c>
      <c r="I20" s="6" t="inlineStr">
        <is>
          <t>436 KiB. Lejos del límite de 16 MB de BSON, así que no hay riesgo de rechazo.</t>
        </is>
      </c>
    </row>
    <row r="21">
      <c r="A21" s="4" t="inlineStr"/>
      <c r="B21" s="4" t="inlineStr">
        <is>
          <t>Documento medio (BSON)</t>
        </is>
      </c>
      <c r="C21" s="4" t="inlineStr"/>
      <c r="D21" s="20" t="n">
        <v>24044</v>
      </c>
      <c r="E21" s="4" t="inlineStr">
        <is>
          <t>bytes</t>
        </is>
      </c>
      <c r="I21" s="6" t="inlineStr">
        <is>
          <t>Codificado con bson.BSON.encode: BSON pesa prácticamente lo mismo que el JSON. No hay ahorro por el formato.</t>
        </is>
      </c>
    </row>
    <row r="22">
      <c r="A22" s="4" t="inlineStr"/>
      <c r="B22" s="4" t="inlineStr">
        <is>
          <t>Claves distintas de primer nivel</t>
        </is>
      </c>
      <c r="C22" s="4" t="inlineStr"/>
      <c r="D22" s="20" t="n">
        <v>1066</v>
      </c>
      <c r="E22" s="4" t="inlineStr">
        <is>
          <t>campos</t>
        </is>
      </c>
      <c r="I22" s="6" t="inlineStr">
        <is>
          <t>MIL SESENTA Y SEIS campos distintos en 6.487 documentos. El esquema de OFF es abierto: cada contribuidor y cada robot añaden los suyos.</t>
        </is>
      </c>
    </row>
    <row r="23">
      <c r="A23" s="4" t="inlineStr"/>
      <c r="B23" s="4" t="inlineStr">
        <is>
          <t>ingredients_text presente en</t>
        </is>
      </c>
      <c r="C23" s="4" t="inlineStr"/>
      <c r="D23" s="39" t="n">
        <v>0.402</v>
      </c>
      <c r="E23" s="4" t="inlineStr">
        <is>
          <t>%</t>
        </is>
      </c>
      <c r="I23" s="6" t="inlineStr">
        <is>
          <t>Solo el 40 % de los productos trae la lista de ingredientes — que es justo el campo sobre el que AgroScout busca.</t>
        </is>
      </c>
    </row>
    <row r="25">
      <c r="A25" s="12" t="inlineStr">
        <is>
          <t>C · DEL VOLCADO PUBLICADO AL TAMAÑO REAL EN DISCO</t>
        </is>
      </c>
    </row>
    <row r="26" ht="30" customHeight="1">
      <c r="A26" s="3" t="inlineStr"/>
      <c r="B26" s="3" t="inlineStr">
        <is>
          <t>Paso del cálculo</t>
        </is>
      </c>
      <c r="C26" s="3" t="inlineStr"/>
      <c r="D26" s="3" t="inlineStr">
        <is>
          <t>Valor</t>
        </is>
      </c>
      <c r="E26" s="3" t="inlineStr">
        <is>
          <t>Unidad</t>
        </is>
      </c>
      <c r="F26" s="3" t="inlineStr"/>
      <c r="G26" s="3" t="inlineStr"/>
      <c r="H26" s="3" t="inlineStr"/>
      <c r="I26" s="3" t="inlineStr">
        <is>
          <t>De dónde sale</t>
        </is>
      </c>
    </row>
    <row r="27">
      <c r="A27" s="4" t="inlineStr"/>
      <c r="B27" s="4" t="inlineStr">
        <is>
          <t>Bytes comprimidos por documento — delta</t>
        </is>
      </c>
      <c r="C27" s="4" t="inlineStr"/>
      <c r="D27" s="40">
        <f>D10/D14</f>
        <v/>
      </c>
      <c r="E27" s="4" t="inlineStr">
        <is>
          <t>bytes/doc</t>
        </is>
      </c>
      <c r="I27" s="6" t="inlineStr">
        <is>
          <t>El delta trae productos recién modificados, que son los más completos: es una muestra SESGADA hacia arriba.</t>
        </is>
      </c>
    </row>
    <row r="28">
      <c r="A28" s="4" t="inlineStr"/>
      <c r="B28" s="4" t="inlineStr">
        <is>
          <t>Bytes comprimidos por documento — población</t>
        </is>
      </c>
      <c r="C28" s="4" t="inlineStr"/>
      <c r="D28" s="40">
        <f>D8/D6</f>
        <v/>
      </c>
      <c r="E28" s="4" t="inlineStr">
        <is>
          <t>bytes/doc</t>
        </is>
      </c>
      <c r="I28" s="6" t="inlineStr">
        <is>
          <t>El export JSONL entero dividido entre los 4,68 M de productos. Esta sí es la población completa.</t>
        </is>
      </c>
    </row>
    <row r="29">
      <c r="A29" s="4" t="inlineStr"/>
      <c r="B29" s="4" t="inlineStr">
        <is>
          <t>Factor de sesgo del delta</t>
        </is>
      </c>
      <c r="C29" s="4" t="inlineStr"/>
      <c r="D29" s="41">
        <f>D27/D28</f>
        <v/>
      </c>
      <c r="E29" s="4" t="inlineStr">
        <is>
          <t>×</t>
        </is>
      </c>
      <c r="I29" s="6" t="inlineStr">
        <is>
          <t>Cuánto más grande es un documento recién tocado que el producto medio. Sale 1,36.</t>
        </is>
      </c>
    </row>
    <row r="30">
      <c r="A30" s="9" t="inlineStr"/>
      <c r="B30" s="9" t="inlineStr">
        <is>
          <t>DOCUMENTO MEDIO DE LA POBLACIÓN</t>
        </is>
      </c>
      <c r="C30" s="9" t="inlineStr"/>
      <c r="D30" s="42">
        <f>D17/D29</f>
        <v/>
      </c>
      <c r="E30" s="9" t="inlineStr">
        <is>
          <t>bytes</t>
        </is>
      </c>
      <c r="I30" s="28" t="inlineStr">
        <is>
          <t>El documento medio del delta corregido por el sesgo: ~17,6 KB. Es la cifra que manda en todo lo que sigue.</t>
        </is>
      </c>
    </row>
    <row r="31">
      <c r="A31" s="4" t="inlineStr"/>
      <c r="B31" s="4" t="inlineStr">
        <is>
          <t>Colección sin comprimir (BSON)</t>
        </is>
      </c>
      <c r="C31" s="4" t="inlineStr"/>
      <c r="D31" s="41">
        <f>D6*D30/10^9</f>
        <v/>
      </c>
      <c r="E31" s="4" t="inlineStr">
        <is>
          <t>GB</t>
        </is>
      </c>
      <c r="I31" s="6" t="inlineStr">
        <is>
          <t>4.680.925 × 17,6 KB. Contraste independiente: el JSONL descomprimido son 11,8 GiB × 6,0 = 71 GiB, y el volcado BSON es 1,22× el JSONL, o sea ~86 GiB. El cálculo cae dentro del contraste.</t>
        </is>
      </c>
    </row>
    <row r="32">
      <c r="A32" s="4" t="inlineStr"/>
      <c r="B32" s="4" t="inlineStr">
        <is>
          <t>Factor de compresión de WiredTiger</t>
        </is>
      </c>
      <c r="C32" s="4" t="inlineStr"/>
      <c r="D32" s="43" t="n">
        <v>3</v>
      </c>
      <c r="E32" s="4" t="inlineStr">
        <is>
          <t>×</t>
        </is>
      </c>
      <c r="I32" s="6" t="inlineStr">
        <is>
          <t>CELDA DE ENTRADA. snappy —el compresor de bloque por defecto— rinde ~3× sobre este tipo de dato; zstd y zlib llegan a 4-4,5× a cambio de CPU y se activan por colección. La referencia de arriba: gzip logra 6× sobre este mismo dato, y ningún compresor de bloque llega ahí porque comprime por páginas, no por fichero.</t>
        </is>
      </c>
    </row>
    <row r="33">
      <c r="A33" s="9" t="inlineStr"/>
      <c r="B33" s="9" t="inlineStr">
        <is>
          <t>COLECCIÓN EN DISCO</t>
        </is>
      </c>
      <c r="C33" s="9" t="inlineStr"/>
      <c r="D33" s="44">
        <f>D31/D32</f>
        <v/>
      </c>
      <c r="E33" s="9" t="inlineStr">
        <is>
          <t>GB</t>
        </is>
      </c>
      <c r="I33" s="28" t="inlineStr">
        <is>
          <t>Lo que ocupa de verdad la colección en el volumen. Con zstd baja a ~19 GB; ponga 4,5 en la celda de arriba para verlo.</t>
        </is>
      </c>
    </row>
    <row r="35">
      <c r="A35" s="12" t="inlineStr">
        <is>
          <t>D · ÍNDICES  (cardinalidad de los arrays MEDIDA sobre el mismo delta)</t>
        </is>
      </c>
    </row>
    <row r="36" ht="30" customHeight="1">
      <c r="A36" s="3" t="inlineStr"/>
      <c r="B36" s="3" t="inlineStr">
        <is>
          <t>Índice</t>
        </is>
      </c>
      <c r="C36" s="3" t="inlineStr">
        <is>
          <t>Tipo</t>
        </is>
      </c>
      <c r="D36" s="3" t="inlineStr">
        <is>
          <t>Entradas/doc</t>
        </is>
      </c>
      <c r="E36" s="3" t="inlineStr">
        <is>
          <t>Presencia</t>
        </is>
      </c>
      <c r="F36" s="3" t="inlineStr">
        <is>
          <t>Entradas totales</t>
        </is>
      </c>
      <c r="G36" s="3" t="inlineStr">
        <is>
          <t>GB</t>
        </is>
      </c>
      <c r="H36" s="3" t="inlineStr"/>
      <c r="I36" s="3" t="inlineStr">
        <is>
          <t>Para qué sirve en AgroScout</t>
        </is>
      </c>
    </row>
    <row r="37">
      <c r="A37" s="4" t="inlineStr"/>
      <c r="B37" s="4" t="inlineStr">
        <is>
          <t>Bytes por entrada de índice</t>
        </is>
      </c>
      <c r="C37" s="4" t="inlineStr"/>
      <c r="D37" s="24" t="n">
        <v>50</v>
      </c>
      <c r="E37" s="4" t="inlineStr">
        <is>
          <t>bytes</t>
        </is>
      </c>
      <c r="I37" s="6" t="inlineStr">
        <is>
          <t>CELDA DE ENTRADA. Clave más RecordId tras compresión de prefijos. 45-60 es el rango razonable para claves de texto cortas.</t>
        </is>
      </c>
    </row>
    <row r="38">
      <c r="A38" s="4" t="inlineStr"/>
      <c r="B38" s="4" t="inlineStr">
        <is>
          <t>_id (code)</t>
        </is>
      </c>
      <c r="C38" s="4" t="inlineStr">
        <is>
          <t>único</t>
        </is>
      </c>
      <c r="D38" s="45" t="n">
        <v>1</v>
      </c>
      <c r="E38" s="39" t="n">
        <v>1</v>
      </c>
      <c r="F38" s="29">
        <f>$D$6*D38*E38</f>
        <v/>
      </c>
      <c r="G38" s="37">
        <f>F38*$D$37/10^9</f>
        <v/>
      </c>
      <c r="I38" s="6" t="inlineStr">
        <is>
          <t>Obligatorio. El código de barras como clave primaria.</t>
        </is>
      </c>
    </row>
    <row r="39">
      <c r="A39" s="4" t="inlineStr"/>
      <c r="B39" s="4" t="inlineStr">
        <is>
          <t>countries_tags</t>
        </is>
      </c>
      <c r="C39" s="4" t="inlineStr">
        <is>
          <t>multiclave</t>
        </is>
      </c>
      <c r="D39" s="45" t="n">
        <v>1.2</v>
      </c>
      <c r="E39" s="39" t="n">
        <v>1</v>
      </c>
      <c r="F39" s="29">
        <f>$D$6*D39*E39</f>
        <v/>
      </c>
      <c r="G39" s="37">
        <f>F39*$D$37/10^9</f>
        <v/>
      </c>
      <c r="I39" s="6" t="inlineStr">
        <is>
          <t>Filtrar por mercado. Es EL índice del mapa comercial: sin él, cada consulta por país recorre 4,68 M de documentos.</t>
        </is>
      </c>
    </row>
    <row r="40">
      <c r="A40" s="4" t="inlineStr"/>
      <c r="B40" s="4" t="inlineStr">
        <is>
          <t>categories_tags</t>
        </is>
      </c>
      <c r="C40" s="4" t="inlineStr">
        <is>
          <t>multiclave</t>
        </is>
      </c>
      <c r="D40" s="45" t="n">
        <v>6.5</v>
      </c>
      <c r="E40" s="39" t="n">
        <v>0.467</v>
      </c>
      <c r="F40" s="29">
        <f>$D$6*D40*E40</f>
        <v/>
      </c>
      <c r="G40" s="37">
        <f>F40*$D$37/10^9</f>
        <v/>
      </c>
      <c r="I40" s="6" t="inlineStr">
        <is>
          <t>Filtrar por categoría de producto. Presente solo en el 47 % de los documentos.</t>
        </is>
      </c>
    </row>
    <row r="41">
      <c r="A41" s="4" t="inlineStr"/>
      <c r="B41" s="4" t="inlineStr">
        <is>
          <t>ingredients_tags</t>
        </is>
      </c>
      <c r="C41" s="4" t="inlineStr">
        <is>
          <t>multiclave</t>
        </is>
      </c>
      <c r="D41" s="45" t="n">
        <v>25.3</v>
      </c>
      <c r="E41" s="39" t="n">
        <v>0.402</v>
      </c>
      <c r="F41" s="29">
        <f>$D$6*D41*E41</f>
        <v/>
      </c>
      <c r="G41" s="37">
        <f>F41*$D$37/10^9</f>
        <v/>
      </c>
      <c r="I41" s="6" t="inlineStr">
        <is>
          <t>EL ÍNDICE CARO: 25 etiquetas por documento. Es también el que hace posible la búsqueda por insumo sin recorrer la colección.</t>
        </is>
      </c>
    </row>
    <row r="42">
      <c r="A42" s="4" t="inlineStr"/>
      <c r="B42" s="4" t="inlineStr">
        <is>
          <t>labels_tags</t>
        </is>
      </c>
      <c r="C42" s="4" t="inlineStr">
        <is>
          <t>multiclave</t>
        </is>
      </c>
      <c r="D42" s="45" t="n">
        <v>2.1</v>
      </c>
      <c r="E42" s="39" t="n">
        <v>0.32</v>
      </c>
      <c r="F42" s="29">
        <f>$D$6*D42*E42</f>
        <v/>
      </c>
      <c r="G42" s="37">
        <f>F42*$D$37/10^9</f>
        <v/>
      </c>
      <c r="I42" s="6" t="inlineStr">
        <is>
          <t>Orgánico, sin gluten, comercio justo: los reclamos que interesan al CITE.</t>
        </is>
      </c>
    </row>
    <row r="43">
      <c r="A43" s="4" t="inlineStr"/>
      <c r="B43" s="4" t="inlineStr">
        <is>
          <t>additives_tags</t>
        </is>
      </c>
      <c r="C43" s="4" t="inlineStr">
        <is>
          <t>multiclave</t>
        </is>
      </c>
      <c r="D43" s="45" t="n">
        <v>2.3</v>
      </c>
      <c r="E43" s="39" t="n">
        <v>0.402</v>
      </c>
      <c r="F43" s="29">
        <f>$D$6*D43*E43</f>
        <v/>
      </c>
      <c r="G43" s="37">
        <f>F43*$D$37/10^9</f>
        <v/>
      </c>
      <c r="I43" s="6" t="inlineStr">
        <is>
          <t>Aditivos. Alimenta el análisis regulatorio que ya existe en el proyecto.</t>
        </is>
      </c>
    </row>
    <row r="44">
      <c r="A44" s="4" t="inlineStr"/>
      <c r="B44" s="4" t="inlineStr">
        <is>
          <t>last_modified_t</t>
        </is>
      </c>
      <c r="C44" s="4" t="inlineStr">
        <is>
          <t>simple</t>
        </is>
      </c>
      <c r="D44" s="45" t="n">
        <v>1</v>
      </c>
      <c r="E44" s="39" t="n">
        <v>1</v>
      </c>
      <c r="F44" s="29">
        <f>$D$6*D44*E44</f>
        <v/>
      </c>
      <c r="G44" s="37">
        <f>F44*$D$37/10^9</f>
        <v/>
      </c>
      <c r="I44" s="6" t="inlineStr">
        <is>
          <t>Refresco incremental: traer solo lo que cambió desde el último delta.</t>
        </is>
      </c>
    </row>
    <row r="45">
      <c r="A45" s="4" t="inlineStr"/>
      <c r="B45" s="4" t="inlineStr">
        <is>
          <t>Índice de texto (product_name + ingredients_text)</t>
        </is>
      </c>
      <c r="C45" s="4" t="inlineStr">
        <is>
          <t>texto</t>
        </is>
      </c>
      <c r="D45" s="45" t="n">
        <v>40</v>
      </c>
      <c r="E45" s="39" t="n">
        <v>0.9399999999999999</v>
      </c>
      <c r="F45" s="29">
        <f>$D$6*D45*E45</f>
        <v/>
      </c>
      <c r="G45" s="37">
        <f>F45*$D$37/10^9</f>
        <v/>
      </c>
      <c r="I45" s="6" t="inlineStr">
        <is>
          <t>OPCIONAL Y CARO. Solo si se quiere búsqueda por palabra dentro de Mongo. AgroScout ya busca por vectores en LanceDB: probablemente no haga falta.</t>
        </is>
      </c>
    </row>
    <row r="46">
      <c r="A46" s="9" t="inlineStr"/>
      <c r="B46" s="7" t="inlineStr">
        <is>
          <t>TOTAL ÍNDICES sin el de texto</t>
        </is>
      </c>
      <c r="C46" s="9" t="inlineStr"/>
      <c r="F46" s="25">
        <f>SUM(F38:F44)</f>
        <v/>
      </c>
      <c r="G46" s="44">
        <f>SUM(G38:G44)</f>
        <v/>
      </c>
      <c r="I46" s="28" t="inlineStr">
        <is>
          <t>Este es el número que decide la RAM: los índices tienen que caber en el cache de WiredTiger o cada consulta va a disco.</t>
        </is>
      </c>
    </row>
    <row r="48">
      <c r="A48" s="12" t="inlineStr">
        <is>
          <t>E · RAM Y WORKING SET</t>
        </is>
      </c>
    </row>
    <row r="49" ht="30" customHeight="1">
      <c r="A49" s="3" t="inlineStr"/>
      <c r="B49" s="3" t="inlineStr">
        <is>
          <t>Regla</t>
        </is>
      </c>
      <c r="C49" s="3" t="inlineStr"/>
      <c r="D49" s="3" t="inlineStr">
        <is>
          <t>Valor</t>
        </is>
      </c>
      <c r="E49" s="3" t="inlineStr">
        <is>
          <t>Unidad</t>
        </is>
      </c>
      <c r="F49" s="3" t="inlineStr"/>
      <c r="G49" s="3" t="inlineStr"/>
      <c r="H49" s="3" t="inlineStr"/>
      <c r="I49" s="3" t="inlineStr">
        <is>
          <t>Por qué</t>
        </is>
      </c>
    </row>
    <row r="50">
      <c r="A50" s="4" t="inlineStr"/>
      <c r="B50" s="4" t="inlineStr">
        <is>
          <t>Índices que deben residir en cache</t>
        </is>
      </c>
      <c r="C50" s="4" t="inlineStr"/>
      <c r="D50" s="41">
        <f>G46</f>
        <v/>
      </c>
      <c r="E50" s="4" t="inlineStr">
        <is>
          <t>GB</t>
        </is>
      </c>
      <c r="I50" s="6" t="inlineStr">
        <is>
          <t>Del bloque D. Si no caben, MongoDB los lee de disco en cada consulta y la latencia se multiplica.</t>
        </is>
      </c>
    </row>
    <row r="51">
      <c r="A51" s="4" t="inlineStr"/>
      <c r="B51" s="4" t="inlineStr">
        <is>
          <t>Documentos calientes (5 % de la colección)</t>
        </is>
      </c>
      <c r="C51" s="4" t="inlineStr"/>
      <c r="D51" s="41">
        <f>D33*0.05</f>
        <v/>
      </c>
      <c r="E51" s="4" t="inlineStr">
        <is>
          <t>GB</t>
        </is>
      </c>
      <c r="I51" s="6" t="inlineStr">
        <is>
          <t>Regla habitual: una minoría de productos concentra las consultas. Con AgroScout el sesgo es aún mayor, porque se consulta por insumo.</t>
        </is>
      </c>
    </row>
    <row r="52">
      <c r="A52" s="4" t="inlineStr"/>
      <c r="B52" s="4" t="inlineStr">
        <is>
          <t>Working set estimado</t>
        </is>
      </c>
      <c r="C52" s="4" t="inlineStr"/>
      <c r="D52" s="41">
        <f>D50+D51</f>
        <v/>
      </c>
      <c r="E52" s="4" t="inlineStr">
        <is>
          <t>GB</t>
        </is>
      </c>
      <c r="I52" s="6" t="inlineStr">
        <is>
          <t>Índices más documentos calientes.</t>
        </is>
      </c>
    </row>
    <row r="53">
      <c r="A53" s="4" t="inlineStr"/>
      <c r="B53" s="4" t="inlineStr">
        <is>
          <t>Cache de WiredTiger necesario</t>
        </is>
      </c>
      <c r="C53" s="4" t="inlineStr"/>
      <c r="D53" s="41">
        <f>D52</f>
        <v/>
      </c>
      <c r="E53" s="4" t="inlineStr">
        <is>
          <t>GB</t>
        </is>
      </c>
      <c r="I53" s="6" t="inlineStr">
        <is>
          <t>Por defecto WiredTiger toma el 50 % de (RAM − 1 GB).</t>
        </is>
      </c>
    </row>
    <row r="54">
      <c r="A54" s="9" t="inlineStr"/>
      <c r="B54" s="9" t="inlineStr">
        <is>
          <t>RAM MÍNIMA DE LA INSTANCIA</t>
        </is>
      </c>
      <c r="C54" s="9" t="inlineStr"/>
      <c r="D54" s="44">
        <f>D53*2+1</f>
        <v/>
      </c>
      <c r="E54" s="9" t="inlineStr">
        <is>
          <t>GB</t>
        </is>
      </c>
      <c r="I54" s="28" t="inlineStr">
        <is>
          <t>Despejando la fórmula anterior. Redondee hacia arriba al tamaño de instancia disponible.</t>
        </is>
      </c>
    </row>
    <row r="56" ht="46" customHeight="1">
      <c r="A56" s="33" t="inlineStr">
        <is>
          <t>NO CABE EN EL ECS QUE YA EXISTE. El ECS del MVP tiene 8 GB y bge-m3 ya ocupa 3,5-4,5 GB del proceso de la API. Meter MongoDB con Open Food Facts entero en esa máquina significa que el sistema operativo empieza a expulsar páginas: primero se degrada la búsqueda vectorial, después el contenedor muere por falta de memoria. MongoDB necesita su propia instancia, y esa es la decisión de coste de este bloque.</t>
        </is>
      </c>
    </row>
    <row r="58">
      <c r="A58" s="12" t="inlineStr">
        <is>
          <t>F · LA ALTERNATIVA QUE CAMBIA EL PROBLEMA: importar solo lo que se usa</t>
        </is>
      </c>
    </row>
    <row r="59" ht="30" customHeight="1">
      <c r="A59" s="3" t="inlineStr"/>
      <c r="B59" s="3" t="inlineStr">
        <is>
          <t>Qué se importa</t>
        </is>
      </c>
      <c r="C59" s="3" t="inlineStr"/>
      <c r="D59" s="3" t="inlineStr">
        <is>
          <t>Bytes/doc (delta)</t>
        </is>
      </c>
      <c r="E59" s="3" t="inlineStr">
        <is>
          <t>Bytes/doc (población)</t>
        </is>
      </c>
      <c r="F59" s="3" t="inlineStr">
        <is>
          <t>Colección cruda (GB)</t>
        </is>
      </c>
      <c r="G59" s="3" t="inlineStr">
        <is>
          <t>En disco (GB)</t>
        </is>
      </c>
      <c r="H59" s="3" t="inlineStr"/>
      <c r="I59" s="3" t="inlineStr">
        <is>
          <t>Qué se pierde</t>
        </is>
      </c>
    </row>
    <row r="60">
      <c r="A60" s="4" t="inlineStr"/>
      <c r="B60" s="4" t="inlineStr">
        <is>
          <t>Documento completo de OFF</t>
        </is>
      </c>
      <c r="C60" s="4" t="inlineStr"/>
      <c r="D60" s="20" t="n">
        <v>23906</v>
      </c>
      <c r="E60" s="29">
        <f>D60/$D$29</f>
        <v/>
      </c>
      <c r="F60" s="37">
        <f>$D$6*E60/10^9</f>
        <v/>
      </c>
      <c r="G60" s="37">
        <f>F60/$D$32</f>
        <v/>
      </c>
      <c r="I60" s="6" t="inlineStr">
        <is>
          <t>Nada. Los 1.066 campos, incluidos los que ningún código lee.</t>
        </is>
      </c>
    </row>
    <row r="61">
      <c r="A61" s="4" t="inlineStr"/>
      <c r="B61" s="4" t="inlineStr">
        <is>
          <t>Proyección P2 · identidad + ingredientes + nutrición</t>
        </is>
      </c>
      <c r="C61" s="4" t="inlineStr"/>
      <c r="D61" s="20" t="n">
        <v>3825</v>
      </c>
      <c r="E61" s="29">
        <f>D61/$D$29</f>
        <v/>
      </c>
      <c r="F61" s="37">
        <f>$D$6*E61/10^9</f>
        <v/>
      </c>
      <c r="G61" s="37">
        <f>F61/$D$32</f>
        <v/>
      </c>
      <c r="I61" s="6" t="inlineStr">
        <is>
          <t>Se pierden environmental_score_data, recipe_estimator, nutriscore_data, images, data_quality_* y states_*. MEDIDO: esos campos son el 54 % del peso del documento y ninguno se usa en el DAG.</t>
        </is>
      </c>
    </row>
    <row r="62">
      <c r="A62" s="4" t="inlineStr"/>
      <c r="B62" s="4" t="inlineStr">
        <is>
          <t>Proyección P1 · identidad + ingredientes</t>
        </is>
      </c>
      <c r="C62" s="4" t="inlineStr"/>
      <c r="D62" s="20" t="n">
        <v>655</v>
      </c>
      <c r="E62" s="29">
        <f>D62/$D$29</f>
        <v/>
      </c>
      <c r="F62" s="37">
        <f>$D$6*E62/10^9</f>
        <v/>
      </c>
      <c r="G62" s="37">
        <f>F62/$D$32</f>
        <v/>
      </c>
      <c r="I62" s="6" t="inlineStr">
        <is>
          <t>Además se pierde toda la nutrición. Es lo que de verdad necesitan la búsqueda por insumo y el mapa comercial: code, product_name, brands, categories_tags, countries_tags, ingredients_text, ingredients_tags, labels_tags, quantity, last_modified_t.</t>
        </is>
      </c>
    </row>
    <row r="64">
      <c r="A64" s="12" t="inlineStr">
        <is>
          <t xml:space="preserve">     Los campos que se llevan el documento — medido, ordenado por peso</t>
        </is>
      </c>
    </row>
    <row r="65" ht="30" customHeight="1">
      <c r="A65" s="3" t="inlineStr"/>
      <c r="B65" s="3" t="inlineStr">
        <is>
          <t>Campo</t>
        </is>
      </c>
      <c r="C65" s="3" t="inlineStr">
        <is>
          <t>Bytes/doc</t>
        </is>
      </c>
      <c r="D65" s="3" t="inlineStr">
        <is>
          <t>% del documento</t>
        </is>
      </c>
      <c r="E65" s="3" t="inlineStr">
        <is>
          <t>¿Lo usa AgroScout?</t>
        </is>
      </c>
      <c r="F65" s="3" t="inlineStr"/>
      <c r="G65" s="3" t="inlineStr"/>
      <c r="H65" s="3" t="inlineStr"/>
      <c r="I65" s="3" t="inlineStr"/>
    </row>
    <row r="66">
      <c r="A66" s="4" t="inlineStr"/>
      <c r="B66" s="4" t="inlineStr">
        <is>
          <t>environmental_score_data</t>
        </is>
      </c>
      <c r="C66" s="29" t="n">
        <v>3297</v>
      </c>
      <c r="D66" s="46" t="n">
        <v>0.158</v>
      </c>
      <c r="E66" s="4" t="inlineStr">
        <is>
          <t>No</t>
        </is>
      </c>
    </row>
    <row r="67">
      <c r="A67" s="4" t="inlineStr"/>
      <c r="B67" s="4" t="inlineStr">
        <is>
          <t>nutrition</t>
        </is>
      </c>
      <c r="C67" s="29" t="n">
        <v>3075</v>
      </c>
      <c r="D67" s="46" t="n">
        <v>0.147</v>
      </c>
      <c r="E67" s="4" t="inlineStr">
        <is>
          <t>Solo en P2</t>
        </is>
      </c>
    </row>
    <row r="68">
      <c r="A68" s="4" t="inlineStr"/>
      <c r="B68" s="4" t="inlineStr">
        <is>
          <t>recipe_estimator</t>
        </is>
      </c>
      <c r="C68" s="29" t="n">
        <v>1740</v>
      </c>
      <c r="D68" s="46" t="n">
        <v>0.083</v>
      </c>
      <c r="E68" s="4" t="inlineStr">
        <is>
          <t>No</t>
        </is>
      </c>
    </row>
    <row r="69">
      <c r="A69" s="4" t="inlineStr"/>
      <c r="B69" s="4" t="inlineStr">
        <is>
          <t>nutriscore</t>
        </is>
      </c>
      <c r="C69" s="29" t="n">
        <v>1256</v>
      </c>
      <c r="D69" s="46" t="n">
        <v>0.06</v>
      </c>
      <c r="E69" s="4" t="inlineStr">
        <is>
          <t>No</t>
        </is>
      </c>
    </row>
    <row r="70">
      <c r="A70" s="4" t="inlineStr"/>
      <c r="B70" s="4" t="inlineStr">
        <is>
          <t>ingredients (estructurado)</t>
        </is>
      </c>
      <c r="C70" s="29" t="n">
        <v>1254</v>
      </c>
      <c r="D70" s="46" t="n">
        <v>0.06</v>
      </c>
      <c r="E70" s="30" t="inlineStr">
        <is>
          <t>Sí</t>
        </is>
      </c>
    </row>
    <row r="71">
      <c r="A71" s="4" t="inlineStr"/>
      <c r="B71" s="4" t="inlineStr">
        <is>
          <t>images</t>
        </is>
      </c>
      <c r="C71" s="29" t="n">
        <v>1081</v>
      </c>
      <c r="D71" s="46" t="n">
        <v>0.052</v>
      </c>
      <c r="E71" s="4" t="inlineStr">
        <is>
          <t>No</t>
        </is>
      </c>
    </row>
    <row r="72">
      <c r="A72" s="4" t="inlineStr"/>
      <c r="B72" s="4" t="inlineStr">
        <is>
          <t>data_quality_tags</t>
        </is>
      </c>
      <c r="C72" s="29" t="n">
        <v>930</v>
      </c>
      <c r="D72" s="46" t="n">
        <v>0.044</v>
      </c>
      <c r="E72" s="4" t="inlineStr">
        <is>
          <t>No</t>
        </is>
      </c>
    </row>
    <row r="73">
      <c r="A73" s="4" t="inlineStr"/>
      <c r="B73" s="4" t="inlineStr">
        <is>
          <t>misc_tags</t>
        </is>
      </c>
      <c r="C73" s="29" t="n">
        <v>735</v>
      </c>
      <c r="D73" s="46" t="n">
        <v>0.035</v>
      </c>
      <c r="E73" s="4" t="inlineStr">
        <is>
          <t>No</t>
        </is>
      </c>
    </row>
    <row r="74">
      <c r="A74" s="4" t="inlineStr"/>
      <c r="B74" s="4" t="inlineStr">
        <is>
          <t>popularity_tags</t>
        </is>
      </c>
      <c r="C74" s="29" t="n">
        <v>519</v>
      </c>
      <c r="D74" s="46" t="n">
        <v>0.025</v>
      </c>
      <c r="E74" s="4" t="inlineStr">
        <is>
          <t>No</t>
        </is>
      </c>
    </row>
    <row r="75">
      <c r="A75" s="4" t="inlineStr"/>
      <c r="B75" s="4" t="inlineStr">
        <is>
          <t>states_tags</t>
        </is>
      </c>
      <c r="C75" s="29" t="n">
        <v>515</v>
      </c>
      <c r="D75" s="46" t="n">
        <v>0.025</v>
      </c>
      <c r="E75" s="4" t="inlineStr">
        <is>
          <t>No</t>
        </is>
      </c>
    </row>
    <row r="76">
      <c r="A76" s="4" t="inlineStr"/>
      <c r="B76" s="4" t="inlineStr">
        <is>
          <t>ingredients_text</t>
        </is>
      </c>
      <c r="C76" s="29" t="n">
        <v>123</v>
      </c>
      <c r="D76" s="46" t="n">
        <v>0.006</v>
      </c>
      <c r="E76" s="30" t="inlineStr">
        <is>
          <t>SÍ — es el campo sobre el que se busca, y pesa el 0,6 %</t>
        </is>
      </c>
    </row>
    <row r="78" ht="44" customHeight="1">
      <c r="A78" s="47" t="inlineStr">
        <is>
          <t>HALLAZGO · El campo que AgroScout necesita pesa el 0,6 % del documento. Importar Open Food Facts entero es pagar 80 GB para usar 2,3. La proyección P1 cabe en una instancia pequeña, se carga en minutos en vez de horas y deja la RAM fuera del problema. Si algún día hacen falta la nutrición o el eco-score, se reimporta: el volcado se regenera cada noche y el ingreso de datos no se cobra.</t>
        </is>
      </c>
    </row>
    <row r="80">
      <c r="A80" s="12" t="inlineStr">
        <is>
          <t>G · LAS TRES OPCIONES DE DESPLIEGUE, CON PRECIO</t>
        </is>
      </c>
    </row>
    <row r="81" ht="30" customHeight="1">
      <c r="A81" s="3" t="inlineStr">
        <is>
          <t>Opc.</t>
        </is>
      </c>
      <c r="B81" s="3" t="inlineStr">
        <is>
          <t>Configuración</t>
        </is>
      </c>
      <c r="C81" s="3" t="inlineStr">
        <is>
          <t>Especificación</t>
        </is>
      </c>
      <c r="D81" s="3" t="inlineStr">
        <is>
          <t>US$/mes mín</t>
        </is>
      </c>
      <c r="E81" s="3" t="inlineStr">
        <is>
          <t>US$/mes esp.</t>
        </is>
      </c>
      <c r="F81" s="3" t="inlineStr">
        <is>
          <t>US$/mes máx</t>
        </is>
      </c>
      <c r="G81" s="3" t="inlineStr">
        <is>
          <t>Disco (GB)</t>
        </is>
      </c>
      <c r="H81" s="3" t="inlineStr">
        <is>
          <t>RAM (GB)</t>
        </is>
      </c>
      <c r="I81" s="3" t="inlineStr">
        <is>
          <t>Qué compra y qué cuesta</t>
        </is>
      </c>
    </row>
    <row r="82">
      <c r="A82" s="30" t="inlineStr">
        <is>
          <t>A</t>
        </is>
      </c>
      <c r="B82" s="4" t="inlineStr">
        <is>
          <t>MongoDB Community en ECS — proyección P1</t>
        </is>
      </c>
      <c r="C82" s="4" t="inlineStr">
        <is>
          <t>ECS s7n.xlarge.2 (4 vCPU/8 GB) + EVS 100 GB SSD</t>
        </is>
      </c>
      <c r="D82" s="32" t="n">
        <v>22</v>
      </c>
      <c r="E82" s="32" t="n">
        <v>29</v>
      </c>
      <c r="F82" s="32" t="n">
        <v>37</v>
      </c>
      <c r="G82" s="29" t="n">
        <v>100</v>
      </c>
      <c r="H82" s="29" t="n">
        <v>8</v>
      </c>
      <c r="I82" s="6" t="inlineStr">
        <is>
          <t>LA RECOMENDADA. Con la proyección P1 la colección son ~2,3 GB y los índices caben de sobra en 8 GB. Es una segunda instancia igual a la que ya existe, sin licencia y sin servicio gestionado. Se opera con el mismo docker-compose.</t>
        </is>
      </c>
    </row>
    <row r="83">
      <c r="A83" s="4" t="inlineStr">
        <is>
          <t>B</t>
        </is>
      </c>
      <c r="B83" s="4" t="inlineStr">
        <is>
          <t>MongoDB Community en ECS — volcado completo</t>
        </is>
      </c>
      <c r="C83" s="4" t="inlineStr">
        <is>
          <t>ECS s7n.2xlarge.4 (8 vCPU/32 GB) + EVS 300 GB SSD</t>
        </is>
      </c>
      <c r="D83" s="32" t="n">
        <v>95</v>
      </c>
      <c r="E83" s="32" t="n">
        <v>130</v>
      </c>
      <c r="F83" s="32" t="n">
        <v>175</v>
      </c>
      <c r="G83" s="29" t="n">
        <v>300</v>
      </c>
      <c r="H83" s="29" t="n">
        <v>32</v>
      </c>
      <c r="I83" s="6" t="inlineStr">
        <is>
          <t>Open Food Facts entero, autogestionado. Los 300 GB son la colección (27 GB) más el volcado (15,4 GiB) más margen de restauración e índice de texto. Sin alta disponibilidad: un nodo suelto, backup por CBR.</t>
        </is>
      </c>
    </row>
    <row r="84">
      <c r="A84" s="4" t="inlineStr">
        <is>
          <t>C</t>
        </is>
      </c>
      <c r="B84" s="4" t="inlineStr">
        <is>
          <t>DDS gestionado (Huawei) — conjunto de réplicas</t>
        </is>
      </c>
      <c r="C84" s="4" t="inlineStr">
        <is>
          <t>3 × dds.mongodb.s6.xlarge.4.repset (4 vCPU/16 GB) + 300 GB</t>
        </is>
      </c>
      <c r="D84" s="32" t="n">
        <v>260</v>
      </c>
      <c r="E84" s="32" t="n">
        <v>360</v>
      </c>
      <c r="F84" s="32" t="n">
        <v>480</v>
      </c>
      <c r="G84" s="29" t="n">
        <v>300</v>
      </c>
      <c r="H84" s="29" t="n">
        <v>16</v>
      </c>
      <c r="I84" s="48" t="inlineStr">
        <is>
          <t>MongoDB gestionado con conmutación automática y backup incluido. OJO: Huawei RETIRÓ la venta de instancias DDS de nodo único el 15-jul-2023, así que el mínimo son TRES nodos. Se paga alta disponibilidad que el MVP no había pedido.</t>
        </is>
      </c>
    </row>
    <row r="85">
      <c r="A85" s="4" t="inlineStr">
        <is>
          <t>D</t>
        </is>
      </c>
      <c r="B85" s="4" t="inlineStr">
        <is>
          <t>MongoDB Atlas (fuera de Huawei)</t>
        </is>
      </c>
      <c r="C85" s="4" t="inlineStr">
        <is>
          <t>M30 · 8 GB RAM · 40 GB</t>
        </is>
      </c>
      <c r="D85" s="32" t="n">
        <v>190</v>
      </c>
      <c r="E85" s="32" t="n">
        <v>220</v>
      </c>
      <c r="F85" s="32" t="n">
        <v>260</v>
      </c>
      <c r="G85" s="29" t="n">
        <v>40</v>
      </c>
      <c r="H85" s="29" t="n">
        <v>8</v>
      </c>
      <c r="I85" s="6" t="inlineStr">
        <is>
          <t>Vive en AWS/Azure/GCP: reaparece la latencia entre nubes que la decisión de sacar Supabase quería eliminar, y el tráfico entre nubes vuelve a pagarse. Solo tiene sentido si ya hubiera equipo con Atlas.</t>
        </is>
      </c>
    </row>
    <row r="86">
      <c r="A86" s="4" t="inlineStr">
        <is>
          <t>E</t>
        </is>
      </c>
      <c r="B86" s="4" t="inlineStr">
        <is>
          <t>No desplegar MongoDB</t>
        </is>
      </c>
      <c r="C86" s="4" t="inlineStr">
        <is>
          <t>Seguir con el snapshot filtrado de 29.054 productos</t>
        </is>
      </c>
      <c r="D86" s="32" t="n">
        <v>0</v>
      </c>
      <c r="E86" s="32" t="n">
        <v>0</v>
      </c>
      <c r="F86" s="32" t="n">
        <v>0</v>
      </c>
      <c r="G86" s="29" t="n">
        <v>0</v>
      </c>
      <c r="H86" s="29" t="n">
        <v>0</v>
      </c>
      <c r="I86" s="6" t="inlineStr">
        <is>
          <t>Es lo que hay hoy y funciona: el filtro de los 5 insumos piloto se aplica al descargar el CSV. Se pierde poder consultar los 4,68 M de productos y todo mercado o insumo no previsto exige rehacer la ingesta.</t>
        </is>
      </c>
    </row>
    <row r="88">
      <c r="B88" s="9" t="inlineStr">
        <is>
          <t>OPCIÓN ELEGIDA (escriba A, B, C, D o E)</t>
        </is>
      </c>
      <c r="C88" s="49" t="inlineStr">
        <is>
          <t>A</t>
        </is>
      </c>
      <c r="I88" s="28" t="inlineStr">
        <is>
          <t>Cambie esta letra y el Resumen, la hoja Infraestructura y los Escenarios se recalculan solos.</t>
        </is>
      </c>
    </row>
    <row r="89">
      <c r="B89" s="7" t="inlineStr">
        <is>
          <t>COSTO MENSUAL DE LA OPCIÓN ELEGIDA</t>
        </is>
      </c>
      <c r="D89" s="8">
        <f>INDEX(D82:D86,MATCH($C$88,A82:A86,0))</f>
        <v/>
      </c>
      <c r="E89" s="8">
        <f>INDEX(E82:E86,MATCH($C$88,A82:A86,0))</f>
        <v/>
      </c>
      <c r="F89" s="8">
        <f>INDEX(F82:F86,MATCH($C$88,A82:A86,0))</f>
        <v/>
      </c>
      <c r="I89" s="28" t="inlineStr">
        <is>
          <t>Es la línea que viaja al Resumen.</t>
        </is>
      </c>
    </row>
    <row r="91">
      <c r="A91" s="12" t="inlineStr">
        <is>
          <t>H · CARGA INICIAL Y REFRESCO</t>
        </is>
      </c>
    </row>
    <row r="92" ht="30" customHeight="1">
      <c r="A92" s="3" t="inlineStr"/>
      <c r="B92" s="3" t="inlineStr">
        <is>
          <t>Operación</t>
        </is>
      </c>
      <c r="C92" s="3" t="inlineStr"/>
      <c r="D92" s="3" t="inlineStr">
        <is>
          <t>Valor</t>
        </is>
      </c>
      <c r="E92" s="3" t="inlineStr">
        <is>
          <t>Unidad</t>
        </is>
      </c>
      <c r="F92" s="3" t="inlineStr"/>
      <c r="G92" s="3" t="inlineStr"/>
      <c r="H92" s="3" t="inlineStr"/>
      <c r="I92" s="3" t="inlineStr">
        <is>
          <t>Detalle</t>
        </is>
      </c>
    </row>
    <row r="93">
      <c r="A93" s="4" t="inlineStr"/>
      <c r="B93" s="4" t="inlineStr">
        <is>
          <t>Descarga del volcado</t>
        </is>
      </c>
      <c r="C93" s="4" t="inlineStr"/>
      <c r="D93" s="29">
        <f>D7/10^9</f>
        <v/>
      </c>
      <c r="E93" s="4" t="inlineStr">
        <is>
          <t>GB</t>
        </is>
      </c>
      <c r="I93" s="6" t="inlineStr">
        <is>
          <t>A 13 MB/s medidos en la ingesta de la Semana 2, son ~20 minutos. El tráfico de ENTRADA no se cobra en Huawei: descargarlo cada noche seguiría siendo gratis.</t>
        </is>
      </c>
    </row>
    <row r="94">
      <c r="A94" s="4" t="inlineStr"/>
      <c r="B94" s="4" t="inlineStr">
        <is>
          <t>Disco necesario durante la carga</t>
        </is>
      </c>
      <c r="C94" s="4" t="inlineStr"/>
      <c r="D94" s="29">
        <f>D7/10^9+D33*1.3</f>
        <v/>
      </c>
      <c r="E94" s="4" t="inlineStr">
        <is>
          <t>GB</t>
        </is>
      </c>
      <c r="I94" s="6" t="inlineStr">
        <is>
          <t>El volcado y la colección conviven mientras corre mongorestore, más el journal. Por eso la opción B pide 300 GB y no 100.</t>
        </is>
      </c>
    </row>
    <row r="95">
      <c r="A95" s="4" t="inlineStr"/>
      <c r="B95" s="4" t="inlineStr">
        <is>
          <t>Tiempo de mongorestore (volcado completo)</t>
        </is>
      </c>
      <c r="C95" s="4" t="inlineStr"/>
      <c r="D95" s="43" t="n">
        <v>3</v>
      </c>
      <c r="E95" s="4" t="inlineStr">
        <is>
          <t>h</t>
        </is>
      </c>
      <c r="I95" s="6" t="inlineStr">
        <is>
          <t>CELDA DE ENTRADA. Entre 1,5 y 4 h según vCPU y disco. Se puede paralelizar con --numInsertionWorkersPerCollection.</t>
        </is>
      </c>
    </row>
    <row r="96">
      <c r="A96" s="4" t="inlineStr"/>
      <c r="B96" s="4" t="inlineStr">
        <is>
          <t>Tiempo de carga con proyección P1</t>
        </is>
      </c>
      <c r="C96" s="4" t="inlineStr"/>
      <c r="D96" s="43" t="n">
        <v>0.7</v>
      </c>
      <c r="E96" s="4" t="inlineStr">
        <is>
          <t>h</t>
        </is>
      </c>
      <c r="I96" s="6" t="inlineStr">
        <is>
          <t>CELDA DE ENTRADA. Se lee el JSONL en streaming y se insertan solo los campos elegidos: nunca hay 80 GB en disco. Es el camino que hace viable la opción A.</t>
        </is>
      </c>
    </row>
    <row r="97">
      <c r="A97" s="4" t="inlineStr"/>
      <c r="B97" s="4" t="inlineStr">
        <is>
          <t>Construcción de los índices</t>
        </is>
      </c>
      <c r="C97" s="4" t="inlineStr"/>
      <c r="D97" s="43" t="n">
        <v>1.5</v>
      </c>
      <c r="E97" s="4" t="inlineStr">
        <is>
          <t>h</t>
        </is>
      </c>
      <c r="I97" s="6" t="inlineStr">
        <is>
          <t>CELDA DE ENTRADA. ingredients_tags es el caro: 47 millones de entradas. Crearlos DESPUÉS de cargar, nunca antes.</t>
        </is>
      </c>
    </row>
    <row r="98">
      <c r="A98" s="4" t="inlineStr"/>
      <c r="B98" s="4" t="inlineStr">
        <is>
          <t>Documentos que cambian al día</t>
        </is>
      </c>
      <c r="C98" s="4" t="inlineStr"/>
      <c r="D98" s="20" t="n">
        <v>6487</v>
      </c>
      <c r="E98" s="4" t="inlineStr">
        <is>
          <t>docs</t>
        </is>
      </c>
      <c r="I98" s="6" t="inlineStr">
        <is>
          <t>MEDIDO en el delta. Es el 0,14 % de la base: el refresco diario es un fichero de 24-66 MB, no una recarga.</t>
        </is>
      </c>
    </row>
    <row r="99">
      <c r="A99" s="4" t="inlineStr"/>
      <c r="B99" s="4" t="inlineStr">
        <is>
          <t>Deltas que OFF conserva</t>
        </is>
      </c>
      <c r="C99" s="4" t="inlineStr"/>
      <c r="D99" s="20" t="n">
        <v>14</v>
      </c>
      <c r="E99" s="4" t="inlineStr">
        <is>
          <t>días</t>
        </is>
      </c>
      <c r="I99" s="6" t="inlineStr">
        <is>
          <t>MEDIDO en /data/delta/index.txt. Si el sistema está caído más de 14 días, hay que volver al volcado completo. Eso fija la frecuencia mínima del trabajo de refresco.</t>
        </is>
      </c>
    </row>
    <row r="100">
      <c r="A100" s="4" t="inlineStr"/>
      <c r="B100" s="4" t="inlineStr">
        <is>
          <t>Volcado que no captura</t>
        </is>
      </c>
      <c r="C100" s="4" t="inlineStr"/>
      <c r="D100" s="29" t="inlineStr">
        <is>
          <t>productos borrados</t>
        </is>
      </c>
      <c r="E100" s="4" t="inlineStr">
        <is>
          <t>—</t>
        </is>
      </c>
      <c r="I100" s="6" t="inlineStr">
        <is>
          <t>OFF lo advierte: los deltas no reflejan borrados. Una recarga completa al trimestre corrige la deriva.</t>
        </is>
      </c>
    </row>
    <row r="102">
      <c r="A102" s="12" t="inlineStr">
        <is>
          <t>I · VEREDICTO</t>
        </is>
      </c>
    </row>
    <row r="103" ht="48" customHeight="1">
      <c r="A103" s="13" t="inlineStr">
        <is>
          <t>1. Open Food Facts entero son 4.680.925 productos, 14,4 GiB comprimidos y ~80 GB de BSON sin comprimir. En disco con snappy son ~27 GB y en RAM el working set pide 16 GB largos. Eso NO cabe en el ECS del MVP, que ya dedica 4,5 GB a bge-m3: MongoDB necesita su propia instancia, y ese es el coste que aparece en el Resumen.</t>
        </is>
      </c>
    </row>
    <row r="104" ht="48" customHeight="1">
      <c r="A104" s="13" t="inlineStr">
        <is>
          <t>2. Pero el 99,4 % de ese peso es materia que AgroScout no lee. Medido campo a campo: environmental_score_data, recipe_estimator, nutriscore, images y data_quality_* se llevan más de la mitad del documento, y el campo sobre el que de verdad se busca —ingredients_text— pesa el 0,6 %. Con la proyección P1 la colección baja de 80 GB a 2,3 GB y todo el problema de dimensionado desaparece.</t>
        </is>
      </c>
    </row>
    <row r="105" ht="48" customHeight="1">
      <c r="A105" s="13" t="inlineStr">
        <is>
          <t>3. Por eso la opción recomendada es la A: una segunda instancia de 4 vCPU/8 GB con MongoDB Community y la proyección P1, cargada leyendo el JSONL en streaming. Cuesta ~US$ 29 al mes contra los ~US$ 360 de DDS gestionado, y la diferencia no compra rendimiento: compra alta disponibilidad, que el MVP no ha pedido.</t>
        </is>
      </c>
    </row>
    <row r="106" ht="48" customHeight="1">
      <c r="A106" s="13" t="inlineStr">
        <is>
          <t>4. DDS merece una frase aparte porque el precio sorprende. Huawei retiró la venta de instancias DDS de nodo único el 15 de julio de 2023 (documentación oficial de especificaciones), así que la entrada más barata al MongoDB gestionado de Huawei son TRES nodos. No hay una opción intermedia entre 'yo me lo administro' y 'pago un conjunto de réplicas completo'.</t>
        </is>
      </c>
    </row>
    <row r="107" ht="48" customHeight="1">
      <c r="A107" s="13" t="inlineStr">
        <is>
          <t>5. El refresco no es un problema. Cambian 6.487 productos al día —el 0,14 %— y OFF publica el delta correspondiente en 24-66 MB. Un trabajo nocturno que aplique el delta basta, con dos salvedades medidas: los deltas solo cubren 14 días hacia atrás, y no reflejan borrados. Una recarga completa al trimestre cierra las dos.</t>
        </is>
      </c>
    </row>
    <row r="108" ht="48" customHeight="1">
      <c r="A108" s="13" t="inlineStr">
        <is>
          <t>6. Lo que hay que decidir, y no es técnico: si se importa Open Food Facts entero, la base derivada cae bajo ODbL. Mientras se use internamente y se atribuya, no hay problema; distribuirla o venderla como base propia sí lo tiene. Conviene resolverlo con el CITE antes de firmar, no después de cargar 4,68 millones de productos.</t>
        </is>
      </c>
    </row>
  </sheetData>
  <mergeCells count="8">
    <mergeCell ref="A104:I104"/>
    <mergeCell ref="A107:I107"/>
    <mergeCell ref="A103:I103"/>
    <mergeCell ref="A108:I108"/>
    <mergeCell ref="A56:I56"/>
    <mergeCell ref="A106:I106"/>
    <mergeCell ref="A105:I105"/>
    <mergeCell ref="A78:I7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26" customWidth="1" min="1" max="1"/>
    <col width="40" customWidth="1" min="2" max="2"/>
    <col width="13" customWidth="1" min="3" max="3"/>
    <col width="13" customWidth="1" min="4" max="4"/>
    <col width="13" customWidth="1" min="5" max="5"/>
    <col width="16" customWidth="1" min="6" max="6"/>
    <col width="76" customWidth="1" min="7" max="7"/>
  </cols>
  <sheetData>
    <row r="1">
      <c r="A1" s="1" t="inlineStr">
        <is>
          <t>Precios de referencia de Huawei Cloud</t>
        </is>
      </c>
    </row>
    <row r="2">
      <c r="A2" s="2" t="inlineStr">
        <is>
          <t>Advertencia importante: Huawei NO publica una lista de precios en HTML. Cada cifra de aquí es una estimación con rango, y abajo está cómo verificarla.</t>
        </is>
      </c>
    </row>
    <row r="4" ht="30" customHeight="1">
      <c r="A4" s="3" t="inlineStr">
        <is>
          <t>Servicio</t>
        </is>
      </c>
      <c r="B4" s="3" t="inlineStr">
        <is>
          <t>Especificación</t>
        </is>
      </c>
      <c r="C4" s="3" t="inlineStr">
        <is>
          <t>P. mín</t>
        </is>
      </c>
      <c r="D4" s="3" t="inlineStr">
        <is>
          <t>P. esp.</t>
        </is>
      </c>
      <c r="E4" s="3" t="inlineStr">
        <is>
          <t>P. máx</t>
        </is>
      </c>
      <c r="F4" s="3" t="inlineStr">
        <is>
          <t>Unidad</t>
        </is>
      </c>
      <c r="G4" s="3" t="inlineStr">
        <is>
          <t>Cómo verificarlo en minutos</t>
        </is>
      </c>
    </row>
    <row r="5">
      <c r="A5" s="4" t="inlineStr">
        <is>
          <t>ECS s7n.xlarge.2</t>
        </is>
      </c>
      <c r="B5" s="4" t="inlineStr">
        <is>
          <t>4 vCPU · 8 GB · General computing-plus</t>
        </is>
      </c>
      <c r="C5" s="35" t="n">
        <v>0.096</v>
      </c>
      <c r="D5" s="35" t="n">
        <v>0.125</v>
      </c>
      <c r="E5" s="35" t="n">
        <v>0.15</v>
      </c>
      <c r="F5" s="4" t="inlineStr">
        <is>
          <t>US$/hora</t>
        </is>
      </c>
      <c r="G5" s="6" t="inlineStr">
        <is>
          <t>calculator.html → ECS → LA-Santiago → General computing-plus s7n → 4 vCPU/8 GB → Pay-per-use. Anote también el precio Yearly para el parámetro de descuento.</t>
        </is>
      </c>
    </row>
    <row r="6">
      <c r="A6" s="4" t="inlineStr">
        <is>
          <t>ECS s7n.2xlarge.4</t>
        </is>
      </c>
      <c r="B6" s="4" t="inlineStr">
        <is>
          <t>8 vCPU · 32 GB — nodo de MongoDB, opción B</t>
        </is>
      </c>
      <c r="C6" s="35" t="n">
        <v>0.38</v>
      </c>
      <c r="D6" s="35" t="n">
        <v>0.5</v>
      </c>
      <c r="E6" s="35" t="n">
        <v>0.62</v>
      </c>
      <c r="F6" s="4" t="inlineStr">
        <is>
          <t>US$/hora</t>
        </is>
      </c>
      <c r="G6" s="6" t="inlineStr">
        <is>
          <t>Mismo asistente, cambiando el flavor. Escala aproximadamente con vCPU × ratio de memoria.</t>
        </is>
      </c>
    </row>
    <row r="7">
      <c r="A7" s="4" t="inlineStr">
        <is>
          <t>RDS for PostgreSQL</t>
        </is>
      </c>
      <c r="B7" s="4" t="inlineStr">
        <is>
          <t>rds.pg.n1.large.2 · 2 vCPU/4 GB · nodo único</t>
        </is>
      </c>
      <c r="C7" s="35" t="n">
        <v>0.07000000000000001</v>
      </c>
      <c r="D7" s="35" t="n">
        <v>0.095</v>
      </c>
      <c r="E7" s="35" t="n">
        <v>0.12</v>
      </c>
      <c r="F7" s="4" t="inlineStr">
        <is>
          <t>US$/hora</t>
        </is>
      </c>
      <c r="G7" s="6" t="inlineStr">
        <is>
          <t>calculator → RDS → PostgreSQL → Single → 2 vCPU/4 GB. La opción Primary/Standby DUPLICA el importe.</t>
        </is>
      </c>
    </row>
    <row r="8">
      <c r="A8" s="4" t="inlineStr">
        <is>
          <t>DDS conjunto de réplicas</t>
        </is>
      </c>
      <c r="B8" s="19" t="inlineStr">
        <is>
          <t>dds.mongodb.s6.xlarge.4.repset · 4 vCPU/16 GB · POR NODO</t>
        </is>
      </c>
      <c r="C8" s="35" t="n">
        <v>0.28</v>
      </c>
      <c r="D8" s="35" t="n">
        <v>0.4</v>
      </c>
      <c r="E8" s="35" t="n">
        <v>0.53</v>
      </c>
      <c r="F8" s="4" t="inlineStr">
        <is>
          <t>US$/hora</t>
        </is>
      </c>
      <c r="G8" s="6" t="inlineStr">
        <is>
          <t>calculator → DDS → Replica set → 3 nodos. RECUERDE: el nodo único se retiró el 15-jul-2023, así que la cantidad mínima es 3 y hay que multiplicar.</t>
        </is>
      </c>
    </row>
    <row r="9">
      <c r="A9" s="4" t="inlineStr">
        <is>
          <t>EVS General Purpose SSD</t>
        </is>
      </c>
      <c r="B9" s="4" t="inlineStr">
        <is>
          <t>Volumen de datos</t>
        </is>
      </c>
      <c r="C9" s="35" t="n">
        <v>0.1</v>
      </c>
      <c r="D9" s="35" t="n">
        <v>0.12</v>
      </c>
      <c r="E9" s="35" t="n">
        <v>0.15</v>
      </c>
      <c r="F9" s="4" t="inlineStr">
        <is>
          <t>US$/GB-mes</t>
        </is>
      </c>
      <c r="G9" s="6" t="inlineStr">
        <is>
          <t>calculator → EVS → General Purpose SSD. Se factura por capacidad aprovisionada, no por uso.</t>
        </is>
      </c>
    </row>
    <row r="10">
      <c r="A10" s="4" t="inlineStr">
        <is>
          <t>Almacenamiento de RDS / DDS</t>
        </is>
      </c>
      <c r="B10" s="4" t="inlineStr">
        <is>
          <t>SSD en la nube</t>
        </is>
      </c>
      <c r="C10" s="35" t="n">
        <v>0.15</v>
      </c>
      <c r="D10" s="35" t="n">
        <v>0.18</v>
      </c>
      <c r="E10" s="35" t="n">
        <v>0.22</v>
      </c>
      <c r="F10" s="4" t="inlineStr">
        <is>
          <t>US$/GB-mes</t>
        </is>
      </c>
      <c r="G10" s="6" t="inlineStr">
        <is>
          <t>Va dentro del asistente de la base, apartado Storage. Es más caro que el EVS suelto.</t>
        </is>
      </c>
    </row>
    <row r="11">
      <c r="A11" s="4" t="inlineStr">
        <is>
          <t>OBS Standard</t>
        </is>
      </c>
      <c r="B11" s="4" t="inlineStr">
        <is>
          <t>Almacenamiento de objetos</t>
        </is>
      </c>
      <c r="C11" s="35" t="n">
        <v>0.019</v>
      </c>
      <c r="D11" s="35" t="n">
        <v>0.024</v>
      </c>
      <c r="E11" s="35" t="n">
        <v>0.03</v>
      </c>
      <c r="F11" s="4" t="inlineStr">
        <is>
          <t>US$/GB-mes</t>
        </is>
      </c>
      <c r="G11" s="6" t="inlineStr">
        <is>
          <t>calculator → OBS → Standard storage → LA-Santiago. Las peticiones y la salida se cobran aparte.</t>
        </is>
      </c>
    </row>
    <row r="12">
      <c r="A12" s="4" t="inlineStr">
        <is>
          <t>CBR</t>
        </is>
      </c>
      <c r="B12" s="4" t="inlineStr">
        <is>
          <t>Bóveda de respaldo</t>
        </is>
      </c>
      <c r="C12" s="35" t="n">
        <v>0.05</v>
      </c>
      <c r="D12" s="35" t="n">
        <v>0.06</v>
      </c>
      <c r="E12" s="35" t="n">
        <v>0.08</v>
      </c>
      <c r="F12" s="4" t="inlineStr">
        <is>
          <t>US$/GB-mes</t>
        </is>
      </c>
      <c r="G12" s="6" t="inlineStr">
        <is>
          <t>calculator → CBR → Cloud Server Backup, por capacidad de bóveda.</t>
        </is>
      </c>
    </row>
    <row r="13">
      <c r="A13" s="4" t="inlineStr">
        <is>
          <t>EIP — cargo por IP</t>
        </is>
      </c>
      <c r="B13" s="4" t="inlineStr">
        <is>
          <t>IP elástica asociada</t>
        </is>
      </c>
      <c r="C13" s="35" t="n">
        <v>0.005</v>
      </c>
      <c r="D13" s="35" t="n">
        <v>0.007</v>
      </c>
      <c r="E13" s="35" t="n">
        <v>0.01</v>
      </c>
      <c r="F13" s="4" t="inlineStr">
        <is>
          <t>US$/hora</t>
        </is>
      </c>
      <c r="G13" s="6" t="inlineStr">
        <is>
          <t>calculator → EIP → Pay-per-use. El cargo por la IP y el del tráfico son dos líneas distintas.</t>
        </is>
      </c>
    </row>
    <row r="14">
      <c r="A14" s="4" t="inlineStr">
        <is>
          <t>Tráfico saliente a internet</t>
        </is>
      </c>
      <c r="B14" s="4" t="inlineStr">
        <is>
          <t>Egress</t>
        </is>
      </c>
      <c r="C14" s="35" t="n">
        <v>0.08</v>
      </c>
      <c r="D14" s="35" t="n">
        <v>0.09</v>
      </c>
      <c r="E14" s="35" t="n">
        <v>0.12</v>
      </c>
      <c r="F14" s="4" t="inlineStr">
        <is>
          <t>US$/GB</t>
        </is>
      </c>
      <c r="G14" s="6" t="inlineStr">
        <is>
          <t>El tráfico ENTRANTE no se cobra. Ese es el motivo de que descargar 15,4 GiB de Open Food Facts cada noche salga gratis.</t>
        </is>
      </c>
    </row>
    <row r="15">
      <c r="A15" s="4" t="inlineStr">
        <is>
          <t>LTS — ingesta de logs</t>
        </is>
      </c>
      <c r="B15" s="4" t="inlineStr">
        <is>
          <t>Retención 7 días</t>
        </is>
      </c>
      <c r="C15" s="35" t="n">
        <v>0.3</v>
      </c>
      <c r="D15" s="35" t="n">
        <v>0.4</v>
      </c>
      <c r="E15" s="35" t="n">
        <v>0.5</v>
      </c>
      <c r="F15" s="4" t="inlineStr">
        <is>
          <t>US$/GB</t>
        </is>
      </c>
      <c r="G15" s="6" t="inlineStr">
        <is>
          <t>Suele haber cuota gratuita mensual: compruébela antes de presupuestar. Confianza BAJA.</t>
        </is>
      </c>
    </row>
    <row r="16">
      <c r="A16" s="4" t="inlineStr">
        <is>
          <t>DNS — zona pública</t>
        </is>
      </c>
      <c r="B16" s="4" t="inlineStr">
        <is>
          <t>1 zona alojada</t>
        </is>
      </c>
      <c r="C16" s="35" t="n">
        <v>0.5</v>
      </c>
      <c r="D16" s="35" t="n">
        <v>0.5</v>
      </c>
      <c r="E16" s="35" t="n">
        <v>0.5</v>
      </c>
      <c r="F16" s="4" t="inlineStr">
        <is>
          <t>US$/mes</t>
        </is>
      </c>
      <c r="G16" s="6" t="inlineStr">
        <is>
          <t>Coste bajo y estable. No incluye el registro del dominio.</t>
        </is>
      </c>
    </row>
    <row r="17">
      <c r="A17" s="4" t="inlineStr">
        <is>
          <t>CES + SMN, DAS, SCM</t>
        </is>
      </c>
      <c r="B17" s="4" t="inlineStr">
        <is>
          <t>Alarmas, consola SQL, certificado</t>
        </is>
      </c>
      <c r="C17" s="35" t="n">
        <v>0</v>
      </c>
      <c r="D17" s="35" t="n">
        <v>0</v>
      </c>
      <c r="E17" s="35" t="n">
        <v>1</v>
      </c>
      <c r="F17" s="4" t="inlineStr">
        <is>
          <t>US$/mes</t>
        </is>
      </c>
      <c r="G17" s="6" t="inlineStr">
        <is>
          <t>La monitorización básica de CES, el correo de SMN, la edición estándar de DAS y el certificado gratuito de SCM no se cobran en estos volúmenes.</t>
        </is>
      </c>
    </row>
    <row r="19">
      <c r="A19" s="12" t="inlineStr">
        <is>
          <t>Por qué estos precios son entradas y no hechos</t>
        </is>
      </c>
    </row>
    <row r="20" ht="44" customHeight="1">
      <c r="A20" s="13" t="inlineStr">
        <is>
          <t>Huawei Cloud no publica sus tarifas en una página legible: viven dentro del calculador (huaweicloud.com/intl/en-us/pricing/calculator.html), que es una aplicación JavaScript, no citable ni automatizable. La documentación de facturación explica los MODOS de cobro, no los importes. Por eso este libro no afirma tener los precios oficiales.</t>
        </is>
      </c>
    </row>
    <row r="21" ht="44" customHeight="1">
      <c r="A21" s="13" t="inlineStr">
        <is>
          <t>Lo que hace en su lugar es mejor para un presupuesto que se va a presentar: cada precio es una celda amarilla con su rango mínimo/esperado/máximo, y todo lo demás son fórmulas. En cuanto usted pegue los números del calculador con la región LA-Santiago puesta, el Resumen, los Escenarios y las hojas de detalle se recalculan solos, sin tocar una fórmula.</t>
        </is>
      </c>
    </row>
    <row r="22" ht="44" customHeight="1">
      <c r="A22" s="13" t="inlineStr">
        <is>
          <t>Las dos líneas con menos confianza son las peticiones de OBS y la ingesta de LTS: en volúmenes de demo son céntimos, pero con uso real conviene medir un mes antes de comprometer una cifra anual.</t>
        </is>
      </c>
    </row>
    <row r="23" ht="44" customHeight="1">
      <c r="A23" s="13" t="inlineStr">
        <is>
          <t>Lo que este presupuesto NO incluye: registro y renovación del dominio, horas de desarrollo e implantación, soporte de pago de Huawei (el plan Basic es gratuito) e impuestos locales si el contrato se firma con un socio peruano — para eso está el parámetro de impuestos.</t>
        </is>
      </c>
    </row>
  </sheetData>
  <mergeCells count="4">
    <mergeCell ref="A20:G20"/>
    <mergeCell ref="A21:G21"/>
    <mergeCell ref="A22:G22"/>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74" customWidth="1" min="5" max="5"/>
  </cols>
  <sheetData>
    <row r="1">
      <c r="A1" s="1" t="inlineStr">
        <is>
          <t>Escenarios de operación</t>
        </is>
      </c>
    </row>
    <row r="2">
      <c r="A2" s="2" t="inlineStr">
        <is>
          <t>El mismo diseño en tres regímenes. Lo que cambia son las horas encendido y el volumen de consultas, no la arquitectura.</t>
        </is>
      </c>
    </row>
    <row r="4" ht="30" customHeight="1">
      <c r="A4" s="3" t="inlineStr">
        <is>
          <t>Concepto</t>
        </is>
      </c>
      <c r="B4" s="3" t="inlineStr">
        <is>
          <t>A · Demo y ensayos</t>
        </is>
      </c>
      <c r="C4" s="3" t="inlineStr">
        <is>
          <t>B · MVP 24×7</t>
        </is>
      </c>
      <c r="D4" s="3" t="inlineStr">
        <is>
          <t>C · Piloto con el CITE</t>
        </is>
      </c>
      <c r="E4" s="3" t="inlineStr">
        <is>
          <t>Qué cambia</t>
        </is>
      </c>
    </row>
    <row r="5">
      <c r="A5" s="4" t="inlineStr">
        <is>
          <t>Runs premium al mes</t>
        </is>
      </c>
      <c r="B5" s="29" t="n">
        <v>20</v>
      </c>
      <c r="C5" s="29">
        <f>Parametros!$B$11</f>
        <v/>
      </c>
      <c r="D5" s="29" t="n">
        <v>500</v>
      </c>
      <c r="E5" s="6" t="inlineStr">
        <is>
          <t>A: ensayos del equipo antes del CDR. C: uso real de varias organizaciones.</t>
        </is>
      </c>
    </row>
    <row r="6">
      <c r="A6" s="4" t="inlineStr">
        <is>
          <t>Runs gratuitos al mes</t>
        </is>
      </c>
      <c r="B6" s="29" t="n">
        <v>0</v>
      </c>
      <c r="C6" s="29">
        <f>Parametros!$B$12</f>
        <v/>
      </c>
      <c r="D6" s="29" t="n">
        <v>2000</v>
      </c>
      <c r="E6" s="6" t="inlineStr">
        <is>
          <t>El plan gratuito corta antes de las etapas 4 y 5, pero NO es gratis: US$ 0,104 por run.</t>
        </is>
      </c>
    </row>
    <row r="7">
      <c r="A7" s="4" t="inlineStr">
        <is>
          <t>Costo de IA</t>
        </is>
      </c>
      <c r="B7" s="5">
        <f>B5*'Costos-IA'!$H$22</f>
        <v/>
      </c>
      <c r="C7" s="5">
        <f>'Costos-IA'!$E$32</f>
        <v/>
      </c>
      <c r="D7" s="5">
        <f>(D5*'Costos-IA'!$H$22+D6*'Costos-IA'!$H$21)*(1-Parametros!$B$13)</f>
        <v/>
      </c>
      <c r="E7" s="6" t="inlineStr">
        <is>
          <t>En A no hay cache que ayude: cada ensayo es una consulta distinta.</t>
        </is>
      </c>
    </row>
    <row r="8">
      <c r="A8" s="4" t="inlineStr">
        <is>
          <t>Infraestructura Huawei</t>
        </is>
      </c>
      <c r="B8" s="5">
        <f>Infraestructura!$K$31-(Infraestructura!$K$5+Infraestructura!$K$7)*(1-Parametros!$B$7/Parametros!$B$6)</f>
        <v/>
      </c>
      <c r="C8" s="5">
        <f>Infraestructura!$K$31</f>
        <v/>
      </c>
      <c r="D8" s="5">
        <f>Infraestructura!$K$31*1.9</f>
        <v/>
      </c>
      <c r="E8" s="6" t="inlineStr">
        <is>
          <t>A: ECS y RDS encendidos 80 h/mes; el almacenamiento, la EIP y los backups se pagan igual. C: aproximación por factor — para costearlo línea por línea hay que abrir la hoja Infraestructura y subir cantidades.</t>
        </is>
      </c>
    </row>
    <row r="9">
      <c r="A9" s="4" t="inlineStr">
        <is>
          <t>MongoDB (opción elegida)</t>
        </is>
      </c>
      <c r="B9" s="5" t="n">
        <v>0</v>
      </c>
      <c r="C9" s="5">
        <f>'MongoDB-OFF'!$E$89</f>
        <v/>
      </c>
      <c r="D9" s="5">
        <f>'MongoDB-OFF'!$E$89</f>
        <v/>
      </c>
      <c r="E9" s="6" t="inlineStr">
        <is>
          <t>En A no hace falta: el snapshot filtrado de 29.054 productos ya está en disco.</t>
        </is>
      </c>
    </row>
    <row r="10">
      <c r="A10" s="4" t="inlineStr">
        <is>
          <t>Suscripciones de terceros</t>
        </is>
      </c>
      <c r="B10" s="5">
        <f>Suscripciones!$G$17*0.3</f>
        <v/>
      </c>
      <c r="C10" s="5">
        <f>Suscripciones!$G$17</f>
        <v/>
      </c>
      <c r="D10" s="5">
        <f>Suscripciones!$G$17*2</f>
        <v/>
      </c>
      <c r="E10" s="6" t="inlineStr">
        <is>
          <t>En A casi todo sigue en plan gratuito. En C, Tavily y Bright Data empiezan a consumir de verdad.</t>
        </is>
      </c>
    </row>
    <row r="12">
      <c r="A12" s="7" t="inlineStr">
        <is>
          <t>SUBTOTAL MENSUAL (US$)</t>
        </is>
      </c>
      <c r="B12" s="11">
        <f>SUM(B7:B10)</f>
        <v/>
      </c>
      <c r="C12" s="11">
        <f>SUM(C7:C10)</f>
        <v/>
      </c>
      <c r="D12" s="11">
        <f>SUM(D7:D10)</f>
        <v/>
      </c>
    </row>
    <row r="13">
      <c r="A13" s="4" t="inlineStr">
        <is>
          <t>Impuestos</t>
        </is>
      </c>
      <c r="B13" s="5">
        <f>B12*Parametros!$B$9</f>
        <v/>
      </c>
      <c r="C13" s="5">
        <f>C12*Parametros!$B$9</f>
        <v/>
      </c>
      <c r="D13" s="5">
        <f>D12*Parametros!$B$9</f>
        <v/>
      </c>
      <c r="E13" s="6" t="inlineStr">
        <is>
          <t>0 % con facturación directa a Huawei Cloud International; 18 % de IGV vía socio peruano.</t>
        </is>
      </c>
    </row>
    <row r="14">
      <c r="A14" s="7" t="inlineStr">
        <is>
          <t>TOTAL MENSUAL (US$)</t>
        </is>
      </c>
      <c r="B14" s="8">
        <f>B12+B13</f>
        <v/>
      </c>
      <c r="C14" s="8">
        <f>C12+C13</f>
        <v/>
      </c>
      <c r="D14" s="8">
        <f>D12+D13</f>
        <v/>
      </c>
    </row>
    <row r="15">
      <c r="A15" s="9" t="inlineStr">
        <is>
          <t>TOTAL MENSUAL (S/)</t>
        </is>
      </c>
      <c r="B15" s="10">
        <f>B14*Parametros!$B$8</f>
        <v/>
      </c>
      <c r="C15" s="10">
        <f>C14*Parametros!$B$8</f>
        <v/>
      </c>
      <c r="D15" s="10">
        <f>D14*Parametros!$B$8</f>
        <v/>
      </c>
    </row>
    <row r="16">
      <c r="A16" s="9" t="inlineStr">
        <is>
          <t>TOTAL ANUAL (US$)</t>
        </is>
      </c>
      <c r="B16" s="11">
        <f>B14*12</f>
        <v/>
      </c>
      <c r="C16" s="11">
        <f>C14*12</f>
        <v/>
      </c>
      <c r="D16" s="11">
        <f>D14*12</f>
        <v/>
      </c>
    </row>
    <row r="17">
      <c r="A17" s="9" t="inlineStr">
        <is>
          <t>TOTAL ANUAL con compromiso (US$)</t>
        </is>
      </c>
      <c r="B17" s="11">
        <f>B14*12*(1-Parametros!$B$10)</f>
        <v/>
      </c>
      <c r="C17" s="11">
        <f>C14*12*(1-Parametros!$B$10)</f>
        <v/>
      </c>
      <c r="D17" s="11">
        <f>D14*12*(1-Parametros!$B$10)</f>
        <v/>
      </c>
    </row>
    <row r="18">
      <c r="A18" s="4" t="inlineStr">
        <is>
          <t>Costo por consulta (todo incluido)</t>
        </is>
      </c>
      <c r="B18" s="31">
        <f>B14/MAX(B5+B6,1)</f>
        <v/>
      </c>
      <c r="C18" s="31">
        <f>C14/MAX(C5+C6,1)</f>
        <v/>
      </c>
      <c r="D18" s="31">
        <f>D14/MAX(D5+D6,1)</f>
        <v/>
      </c>
      <c r="E18" s="6" t="inlineStr">
        <is>
          <t>Infraestructura incluida, no solo el LLM. Baja rápido con la escala porque el grueso de la factura es fijo.</t>
        </is>
      </c>
    </row>
    <row r="20">
      <c r="A20" s="12" t="inlineStr">
        <is>
          <t>Cuándo aplica cada escenario</t>
        </is>
      </c>
    </row>
    <row r="21" ht="46" customHeight="1">
      <c r="A21" s="13" t="inlineStr">
        <is>
          <t>A · Demo y ensayos — hasta el CDR del 28 de agosto. Encender ECS y RDS solo para ensayar y presentar, y no desplegar MongoDB todavía: el snapshot filtrado ya está en disco y responde. Es el escenario correcto para las próximas semanas y el más barato con diferencia.</t>
        </is>
      </c>
    </row>
    <row r="22" ht="46" customHeight="1">
      <c r="A22" s="13" t="inlineStr">
        <is>
          <t>B · MVP 24×7 — el CITE empieza a usarlo y el servicio debe estar disponible. Es la arquitectura de INFRA-HUAWEI-CLOUD.md más la instancia de MongoDB con la proyección de Open Food Facts.</t>
        </is>
      </c>
    </row>
    <row r="23" ht="46" customHeight="1">
      <c r="A23" s="13" t="inlineStr">
        <is>
          <t>C · Piloto con el CITE — varias organizaciones consultando de verdad. Aquí el número que hay que vigilar no es la infraestructura: es el kill-switch de US$ 10/mes, que con 500 runs premium se agota el primer día. Subirlo es una decisión consciente y cuesta lo que dice la hoja Costos-IA.</t>
        </is>
      </c>
    </row>
    <row r="24" ht="46" customHeight="1">
      <c r="A24" s="33" t="inlineStr">
        <is>
          <t>ATENCIÓN · La columna C es una aproximación por factor sobre la infraestructura, no un costeo línea por línea. Antes de llevarla a una propuesta firmada hay que abrir la hoja Infraestructura y subir cantidades una a una: la alta disponibilidad de la base, el balanceador y el WAF son tres líneas que ningún factor multiplicativo estima bien.</t>
        </is>
      </c>
    </row>
  </sheetData>
  <mergeCells count="4">
    <mergeCell ref="A21:E21"/>
    <mergeCell ref="A22:E22"/>
    <mergeCell ref="A23:E23"/>
    <mergeCell ref="A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40" customWidth="1" min="1" max="1"/>
    <col width="16" customWidth="1" min="2" max="2"/>
    <col width="14" customWidth="1" min="3" max="3"/>
    <col width="86" customWidth="1" min="4" max="4"/>
  </cols>
  <sheetData>
    <row r="1">
      <c r="A1" s="1" t="inlineStr">
        <is>
          <t>Parámetros globales</t>
        </is>
      </c>
    </row>
    <row r="2">
      <c r="A2" s="2" t="inlineStr">
        <is>
          <t>Cambie aquí y todo el libro se recalcula</t>
        </is>
      </c>
    </row>
    <row r="4" ht="30" customHeight="1">
      <c r="A4" s="3" t="inlineStr">
        <is>
          <t>Parámetro</t>
        </is>
      </c>
      <c r="B4" s="3" t="inlineStr">
        <is>
          <t>Valor</t>
        </is>
      </c>
      <c r="C4" s="3" t="inlineStr">
        <is>
          <t>Unidad</t>
        </is>
      </c>
      <c r="D4" s="3" t="inlineStr">
        <is>
          <t>Nota</t>
        </is>
      </c>
    </row>
    <row r="5">
      <c r="A5" s="4" t="inlineStr">
        <is>
          <t>Región</t>
        </is>
      </c>
      <c r="B5" s="50" t="inlineStr">
        <is>
          <t>LA-Santiago</t>
        </is>
      </c>
      <c r="C5" s="4" t="inlineStr">
        <is>
          <t>—</t>
        </is>
      </c>
      <c r="D5" s="6" t="inlineStr">
        <is>
          <t>La región de Huawei Cloud más cercana a Perú (~40-60 ms desde Lima). Exige cuenta Huawei Cloud INTERNATIONAL, no la del sitio de China continental.</t>
        </is>
      </c>
    </row>
    <row r="6">
      <c r="A6" s="4" t="inlineStr">
        <is>
          <t>Horas por mes (24×7)</t>
        </is>
      </c>
      <c r="B6" s="24" t="n">
        <v>730</v>
      </c>
      <c r="C6" s="4" t="inlineStr">
        <is>
          <t>h</t>
        </is>
      </c>
      <c r="D6" s="6" t="inlineStr">
        <is>
          <t>Convención de facturación en la nube: 365×24/12 = 730.</t>
        </is>
      </c>
    </row>
    <row r="7">
      <c r="A7" s="4" t="inlineStr">
        <is>
          <t>Horas/mes escenario demo</t>
        </is>
      </c>
      <c r="B7" s="24" t="n">
        <v>80</v>
      </c>
      <c r="C7" s="4" t="inlineStr">
        <is>
          <t>h</t>
        </is>
      </c>
      <c r="D7" s="6" t="inlineStr">
        <is>
          <t>ECS y bases encendidos solo para ensayos y la demo del CDR. El almacenamiento se paga igual.</t>
        </is>
      </c>
    </row>
    <row r="8">
      <c r="A8" s="4" t="inlineStr">
        <is>
          <t>Tipo de cambio USD → PEN</t>
        </is>
      </c>
      <c r="B8" s="43" t="n">
        <v>3.75</v>
      </c>
      <c r="C8" s="4" t="inlineStr">
        <is>
          <t>S/ por US$</t>
        </is>
      </c>
      <c r="D8" s="6" t="inlineStr">
        <is>
          <t>EDITAR con el tipo de cambio del día de la presentación.</t>
        </is>
      </c>
    </row>
    <row r="9">
      <c r="A9" s="4" t="inlineStr">
        <is>
          <t>Impuestos aplicables</t>
        </is>
      </c>
      <c r="B9" s="51" t="n">
        <v>0</v>
      </c>
      <c r="C9" s="4" t="inlineStr">
        <is>
          <t>%</t>
        </is>
      </c>
      <c r="D9" s="6" t="inlineStr">
        <is>
          <t>0 % si se factura directo con Huawei Cloud International. Vía socio peruano: 18 % de IGV.</t>
        </is>
      </c>
    </row>
    <row r="10">
      <c r="A10" s="4" t="inlineStr">
        <is>
          <t>Descuento por compromiso anual</t>
        </is>
      </c>
      <c r="B10" s="51" t="n">
        <v>0.35</v>
      </c>
      <c r="C10" s="4" t="inlineStr">
        <is>
          <t>%</t>
        </is>
      </c>
      <c r="D10" s="6" t="inlineStr">
        <is>
          <t>Prepago anual de ECS, RDS y DDS. VERIFICAR el descuento real en el calculador; 30-40 % es lo habitual.</t>
        </is>
      </c>
    </row>
    <row r="11">
      <c r="A11" s="4" t="inlineStr">
        <is>
          <t>Runs premium por mes</t>
        </is>
      </c>
      <c r="B11" s="24" t="n">
        <v>100</v>
      </c>
      <c r="C11" s="4" t="inlineStr">
        <is>
          <t>runs</t>
        </is>
      </c>
      <c r="D11" s="6" t="inlineStr">
        <is>
          <t>Consulta completa: 5 etapas de LLM. Es el volumen que manda sobre la factura de IA.</t>
        </is>
      </c>
    </row>
    <row r="12">
      <c r="A12" s="4" t="inlineStr">
        <is>
          <t>Runs gratuitos por mes</t>
        </is>
      </c>
      <c r="B12" s="24" t="n">
        <v>200</v>
      </c>
      <c r="C12" s="4" t="inlineStr">
        <is>
          <t>runs</t>
        </is>
      </c>
      <c r="D12" s="6" t="inlineStr">
        <is>
          <t>El paywall corta antes de las etapas 4 y 5. OJO: no son gratis, son US$ 0,104 cada uno.</t>
        </is>
      </c>
    </row>
    <row r="13">
      <c r="A13" s="4" t="inlineStr">
        <is>
          <t>Tasa de acierto del cache</t>
        </is>
      </c>
      <c r="B13" s="39" t="n">
        <v>0.514</v>
      </c>
      <c r="C13" s="4" t="inlineStr">
        <is>
          <t>%</t>
        </is>
      </c>
      <c r="D13" s="6" t="inlineStr">
        <is>
          <t>MEDIDO: 109 aciertos sobre 212 filas de etapa con modelo en etapas_ejecucion. El cache es por (entrada, modelo, etapa, snapshot).</t>
        </is>
      </c>
    </row>
    <row r="14">
      <c r="A14" s="4" t="inlineStr">
        <is>
          <t>Tráfico saliente mensual</t>
        </is>
      </c>
      <c r="B14" s="24" t="n">
        <v>30</v>
      </c>
      <c r="C14" s="4" t="inlineStr">
        <is>
          <t>GB</t>
        </is>
      </c>
      <c r="D14" s="6" t="inlineStr">
        <is>
          <t>SPA (173 KB), PDFs (~26 KB c/u) y API. Conservador para demo y piloto.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showGridLines="0" workbookViewId="0">
      <pane ySplit="4" topLeftCell="A5" activePane="bottomLeft" state="frozen"/>
      <selection pane="bottomLeft" activeCell="A1" sqref="A1"/>
    </sheetView>
  </sheetViews>
  <sheetFormatPr baseColWidth="8" defaultRowHeight="15"/>
  <cols>
    <col width="4" customWidth="1" min="1" max="1"/>
    <col width="118" customWidth="1" min="2" max="2"/>
  </cols>
  <sheetData>
    <row r="1">
      <c r="A1" s="1" t="inlineStr">
        <is>
          <t>Cómo usar este libro</t>
        </is>
      </c>
    </row>
    <row r="2">
      <c r="A2" s="2" t="inlineStr">
        <is>
          <t>AgroScout IA · CITEagroindustrial Chavimochic · elaborado el 2026-08-14</t>
        </is>
      </c>
    </row>
    <row r="3"/>
    <row r="4"/>
    <row r="5">
      <c r="B5" s="12" t="inlineStr">
        <is>
          <t>QUÉ CONTIENE Y EN QUÉ ORDEN LEERLO</t>
        </is>
      </c>
    </row>
    <row r="6" ht="15" customHeight="1">
      <c r="B6" s="52" t="inlineStr">
        <is>
          <t>Resumen — la cifra que se presenta, con las cuatro piezas que la componen.</t>
        </is>
      </c>
    </row>
    <row r="7" ht="15" customHeight="1">
      <c r="B7" s="52" t="inlineStr">
        <is>
          <t>Costos-IA — el consumo de ModelArts MaaS etapa por etapa. Es el bloque MEDIDO del libro.</t>
        </is>
      </c>
    </row>
    <row r="8" ht="15" customHeight="1">
      <c r="B8" s="52" t="inlineStr">
        <is>
          <t>Suscripciones — lo que hoy está contratado o con clave activa, y qué habría que decidir sobre cada cosa.</t>
        </is>
      </c>
    </row>
    <row r="9" ht="15" customHeight="1">
      <c r="B9" s="52" t="inlineStr">
        <is>
          <t>Infraestructura — las 17 líneas de Huawei Cloud que hacen falta, con precio mínimo/esperado/máximo.</t>
        </is>
      </c>
    </row>
    <row r="10" ht="30" customHeight="1">
      <c r="B10" s="52" t="inlineStr">
        <is>
          <t>MongoDB-OFF — el dimensionado de Open Food Facts, medido contra la fuente real, y las cinco opciones de despliegue.</t>
        </is>
      </c>
    </row>
    <row r="11" ht="15" customHeight="1">
      <c r="B11" s="52" t="inlineStr">
        <is>
          <t>Precios-Huawei — la tabla de precios unitarios y cómo verificar cada uno en el calculador.</t>
        </is>
      </c>
    </row>
    <row r="12" ht="15" customHeight="1">
      <c r="B12" s="52" t="inlineStr">
        <is>
          <t>Escenarios — demo, MVP 24×7 y piloto.</t>
        </is>
      </c>
    </row>
    <row r="13" ht="15" customHeight="1">
      <c r="B13" s="52" t="inlineStr">
        <is>
          <t>Parametros — los diez números que mueven todo el libro.</t>
        </is>
      </c>
    </row>
    <row r="14"/>
    <row r="15">
      <c r="B15" s="12" t="inlineStr">
        <is>
          <t>CÓMO ACTUALIZARLO</t>
        </is>
      </c>
    </row>
    <row r="16" ht="15" customHeight="1">
      <c r="B16" s="52" t="inlineStr">
        <is>
          <t>1. Abra Parametros y ajuste tipo de cambio, horas al mes, volúmenes de consulta e impuestos.</t>
        </is>
      </c>
    </row>
    <row r="17" ht="30" customHeight="1">
      <c r="B17" s="52" t="inlineStr">
        <is>
          <t>2. Abra el calculador de Huawei con la región LA-Santiago puesta y pegue los precios en las celdas amarillas de Precios-Huawei e Infraestructura.</t>
        </is>
      </c>
    </row>
    <row r="18" ht="30" customHeight="1">
      <c r="B18" s="52" t="inlineStr">
        <is>
          <t>3. En MongoDB-OFF, escriba en la celda C88 la letra de la opción elegida (A, B, C, D o E). El Resumen la recoge.</t>
        </is>
      </c>
    </row>
    <row r="19" ht="30" customHeight="1">
      <c r="B19" s="52" t="inlineStr">
        <is>
          <t>4. En Costos-IA no toque nada salvo los volúmenes: los tokens están medidos y las tarifas salen de config/tarifas_llm.json.</t>
        </is>
      </c>
    </row>
    <row r="20"/>
    <row r="21">
      <c r="B21" s="12" t="inlineStr">
        <is>
          <t>CÓDIGO DE COLORES</t>
        </is>
      </c>
    </row>
    <row r="22" ht="15" customHeight="1">
      <c r="B22" s="52" t="inlineStr">
        <is>
          <t>Amarillo — celda de entrada: la edita usted.</t>
        </is>
      </c>
    </row>
    <row r="23" ht="15" customHeight="1">
      <c r="B23" s="52" t="inlineStr">
        <is>
          <t>Verde — dato MEDIDO en este proyecto o contra la fuente real.</t>
        </is>
      </c>
    </row>
    <row r="24" ht="15" customHeight="1">
      <c r="B24" s="52" t="inlineStr">
        <is>
          <t>Naranja — total calculado. Son fórmulas.</t>
        </is>
      </c>
    </row>
    <row r="25" ht="15" customHeight="1">
      <c r="B25" s="52" t="inlineStr">
        <is>
          <t>Rojo — hallazgo o alerta que exige una decisión.</t>
        </is>
      </c>
    </row>
    <row r="26"/>
    <row r="27">
      <c r="B27" s="12" t="inlineStr">
        <is>
          <t>DE DÓNDE SALE CADA DATO MEDIDO</t>
        </is>
      </c>
    </row>
    <row r="28" ht="30" customHeight="1">
      <c r="B28" s="52" t="inlineStr">
        <is>
          <t>Tokens y coste por etapa — agroscout.db, tabla etapas_ejecucion: 306 filas de ejecuciones reales, de las que se aislaron las llamadas en frío (cache_hit = 0 y tokens &gt; 0).</t>
        </is>
      </c>
    </row>
    <row r="29" ht="30" customHeight="1">
      <c r="B29" s="52" t="inlineStr">
        <is>
          <t>Tarifas de modelo — config/tarifas_llm.json. Asignación de modelo por etapa — adaptadores/redactor_glm.py líneas 32-37.</t>
        </is>
      </c>
    </row>
    <row r="30" ht="15" customHeight="1">
      <c r="B30" s="52" t="inlineStr">
        <is>
          <t>Tasa de acierto del cache — 109 aciertos sobre 212 filas de etapa con modelo, en la misma tabla.</t>
        </is>
      </c>
    </row>
    <row r="31" ht="30" customHeight="1">
      <c r="B31" s="52" t="inlineStr">
        <is>
          <t>Tamaños de Open Food Facts — peticiones HTTP HEAD a static.openfoodfacts.org el 2026-08-14, con la fecha de Last-Modified de cada fichero anotada en la hoja.</t>
        </is>
      </c>
    </row>
    <row r="32" ht="15" customHeight="1">
      <c r="B32" s="52" t="inlineStr">
        <is>
          <t>Recuento de productos — API v2 de Open Food Facts: 4.680.925 el 2026-08-14.</t>
        </is>
      </c>
    </row>
    <row r="33" ht="30" customHeight="1">
      <c r="B33" s="52" t="inlineStr">
        <is>
          <t>Anatomía del documento — descarga y descompresión de un delta diario real (6.487 documentos), midiendo cada documento en JSON y en BSON, y sumando el peso de cada campo.</t>
        </is>
      </c>
    </row>
    <row r="34" ht="30" customHeight="1">
      <c r="B34" s="52" t="inlineStr">
        <is>
          <t>Consumo de memoria de bge-m3, latencia p95 y tamaños del snapshot — INFRA-HUAWEI-CLOUD.md y datasets/2026-07/manifest.json.</t>
        </is>
      </c>
    </row>
    <row r="35"/>
    <row r="36">
      <c r="B36" s="12" t="inlineStr">
        <is>
          <t>LO QUE ESTE LIBRO NO INCLUYE</t>
        </is>
      </c>
    </row>
    <row r="37" ht="30" customHeight="1">
      <c r="B37" s="52" t="inlineStr">
        <is>
          <t>Registro y renovación del dominio · horas de desarrollo e implantación · soporte de pago de Huawei (el plan Basic es gratuito) · licencias de terceros · impuestos locales si el contrato se firma con un socio peruano, para lo cual hay un parámetro editable.</t>
        </is>
      </c>
    </row>
    <row r="38" ht="30" customHeight="1">
      <c r="B38" s="52" t="inlineStr">
        <is>
          <t>Tampoco incluye las 13,5-15 horas de código que cuesta migrar de Supabase a RDS, que están medidas en INFRA-HUAWEI-CLOUD.md §13 pero son esfuerzo, no factura.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2026-08-14T15:27:16Z</dcterms:created>
  <dcterms:modified xmlns:dcterms="http://purl.org/dc/terms/" xmlns:xsi="http://www.w3.org/2001/XMLSchema-instance" xsi:type="dcterms:W3CDTF">2026-08-14T15:27:17Z</dcterms:modified>
</cp:coreProperties>
</file>