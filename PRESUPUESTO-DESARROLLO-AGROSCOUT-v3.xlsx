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upuestos" sheetId="2" state="visible" r:id="rId2"/>
    <sheet name="Esfuerzo" sheetId="3" state="visible" r:id="rId3"/>
    <sheet name="Costo_Desarrollo" sheetId="4" state="visible" r:id="rId4"/>
    <sheet name="Herramientas_IA" sheetId="5" state="visible" r:id="rId5"/>
    <sheet name="Infraestructura" sheetId="6" state="visible" r:id="rId6"/>
    <sheet name="Costo_LLM" sheetId="7" state="visible" r:id="rId7"/>
    <sheet name="Proyeccion_36m" sheetId="8" state="visible" r:id="rId8"/>
    <sheet name="Escenarios" sheetId="9" state="visible" r:id="rId9"/>
    <sheet name="Hitos_Pag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US$ &quot;#,##0.00"/>
    <numFmt numFmtId="165" formatCode="0.0&quot;x&quot;"/>
    <numFmt numFmtId="166" formatCode="&quot;US$ &quot;#,##0"/>
    <numFmt numFmtId="167" formatCode="#,##0.0"/>
    <numFmt numFmtId="168" formatCode="0.0%"/>
    <numFmt numFmtId="169" formatCode="#,##0.0&quot;x&quot;"/>
    <numFmt numFmtId="170" formatCode="&quot;S/ &quot;#,##0"/>
    <numFmt numFmtId="171" formatCode="&quot;US$ &quot;#,##0.00000"/>
    <numFmt numFmtId="172" formatCode="&quot;US$ &quot;#,##0.0000"/>
    <numFmt numFmtId="173" formatCode="&quot;S/ &quot;#,##0.00"/>
    <numFmt numFmtId="174" formatCode="#,##0.0&quot; semanas&quot;"/>
  </numFmts>
  <fonts count="9">
    <font>
      <name val="Calibri"/>
      <family val="2"/>
      <color theme="1"/>
      <sz val="11"/>
      <scheme val="minor"/>
    </font>
    <font>
      <name val="Calibri"/>
      <b val="1"/>
      <color rgb="001F4E3D"/>
      <sz val="16"/>
    </font>
    <font>
      <name val="Calibri"/>
      <i val="1"/>
      <color rgb="005B6B62"/>
      <sz val="10"/>
    </font>
    <font>
      <name val="Calibri"/>
      <b val="1"/>
      <color rgb="001F4E3D"/>
      <sz val="11"/>
    </font>
    <font>
      <name val="Calibri"/>
      <sz val="10"/>
    </font>
    <font>
      <name val="Calibri"/>
      <i val="1"/>
      <color rgb="006B7A72"/>
      <sz val="9"/>
    </font>
    <font>
      <name val="Calibri"/>
      <b val="1"/>
      <color rgb="00FFFFFF"/>
      <sz val="10"/>
    </font>
    <font>
      <name val="Calibri"/>
      <b val="1"/>
      <color rgb="001F4E3D"/>
      <sz val="10"/>
    </font>
    <font>
      <name val="Calibri"/>
      <b val="1"/>
      <color rgb="001F4E3D"/>
      <sz val="14"/>
    </font>
  </fonts>
  <fills count="6">
    <fill>
      <patternFill/>
    </fill>
    <fill>
      <patternFill patternType="gray125"/>
    </fill>
    <fill>
      <patternFill patternType="solid">
        <fgColor rgb="00E8F0EC"/>
      </patternFill>
    </fill>
    <fill>
      <patternFill patternType="solid">
        <fgColor rgb="00FFF7DC"/>
      </patternFill>
    </fill>
    <fill>
      <patternFill patternType="solid">
        <fgColor rgb="001F4E3D"/>
      </patternFill>
    </fill>
    <fill>
      <patternFill patternType="solid">
        <fgColor rgb="00F2F4F3"/>
      </patternFill>
    </fill>
  </fills>
  <borders count="3">
    <border>
      <left/>
      <right/>
      <top/>
      <bottom/>
      <diagonal/>
    </border>
    <border>
      <left style="thin">
        <color rgb="00C6CFC9"/>
      </left>
      <right style="thin">
        <color rgb="00C6CFC9"/>
      </right>
      <top style="thin">
        <color rgb="00C6CFC9"/>
      </top>
      <bottom style="thin">
        <color rgb="00C6CFC9"/>
      </bottom>
    </border>
    <border>
      <top style="medium">
        <color rgb="001F4E3D"/>
      </top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7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166" fontId="4" fillId="0" borderId="1" pivotButton="0" quotePrefix="0" xfId="0"/>
    <xf numFmtId="170" fontId="4" fillId="0" borderId="1" pivotButton="0" quotePrefix="0" xfId="0"/>
    <xf numFmtId="168" fontId="4" fillId="0" borderId="1" pivotButton="0" quotePrefix="0" xfId="0"/>
    <xf numFmtId="174" fontId="4" fillId="0" borderId="1" pivotButton="0" quotePrefix="0" xfId="0"/>
    <xf numFmtId="3" fontId="4" fillId="0" borderId="1" pivotButton="0" quotePrefix="0" xfId="0"/>
    <xf numFmtId="169" fontId="4" fillId="0" borderId="1" pivotButton="0" quotePrefix="0" xfId="0"/>
    <xf numFmtId="0" fontId="7" fillId="5" borderId="1" pivotButton="0" quotePrefix="0" xfId="0"/>
    <xf numFmtId="166" fontId="7" fillId="5" borderId="1" pivotButton="0" quotePrefix="0" xfId="0"/>
    <xf numFmtId="170" fontId="7" fillId="5" borderId="1" pivotButton="0" quotePrefix="0" xfId="0"/>
    <xf numFmtId="0" fontId="5" fillId="5" borderId="1" pivotButton="0" quotePrefix="0" xfId="0"/>
    <xf numFmtId="164" fontId="4" fillId="0" borderId="1" pivotButton="0" quotePrefix="0" xfId="0"/>
    <xf numFmtId="173" fontId="4" fillId="0" borderId="1" pivotButton="0" quotePrefix="0" xfId="0"/>
    <xf numFmtId="166" fontId="7" fillId="0" borderId="1" pivotButton="0" quotePrefix="0" xfId="0"/>
    <xf numFmtId="3" fontId="7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4" fillId="3" borderId="1" pivotButton="0" quotePrefix="0" xfId="0"/>
    <xf numFmtId="9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2" fontId="4" fillId="3" borderId="1" pivotButton="0" quotePrefix="0" xfId="0"/>
    <xf numFmtId="165" fontId="4" fillId="0" borderId="1" pivotButton="0" quotePrefix="0" xfId="0"/>
    <xf numFmtId="166" fontId="4" fillId="3" borderId="1" pivotButton="0" quotePrefix="0" xfId="0"/>
    <xf numFmtId="0" fontId="7" fillId="0" borderId="1" pivotButton="0" quotePrefix="0" xfId="0"/>
    <xf numFmtId="164" fontId="7" fillId="5" borderId="1" pivotButton="0" quotePrefix="0" xfId="0"/>
    <xf numFmtId="2" fontId="4" fillId="0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167" fontId="4" fillId="5" borderId="1" pivotButton="0" quotePrefix="0" xfId="0"/>
    <xf numFmtId="2" fontId="4" fillId="5" borderId="1" pivotButton="0" quotePrefix="0" xfId="0"/>
    <xf numFmtId="167" fontId="7" fillId="5" borderId="1" pivotButton="0" quotePrefix="0" xfId="0"/>
    <xf numFmtId="0" fontId="7" fillId="0" borderId="2" pivotButton="0" quotePrefix="0" xfId="0"/>
    <xf numFmtId="0" fontId="4" fillId="0" borderId="2" pivotButton="0" quotePrefix="0" xfId="0"/>
    <xf numFmtId="167" fontId="7" fillId="0" borderId="2" pivotButton="0" quotePrefix="0" xfId="0"/>
    <xf numFmtId="168" fontId="8" fillId="0" borderId="0" pivotButton="0" quotePrefix="0" xfId="0"/>
    <xf numFmtId="167" fontId="4" fillId="0" borderId="0" pivotButton="0" quotePrefix="0" xfId="0"/>
    <xf numFmtId="167" fontId="8" fillId="0" borderId="0" pivotButton="0" quotePrefix="0" xfId="0"/>
    <xf numFmtId="9" fontId="4" fillId="0" borderId="1" pivotButton="0" quotePrefix="0" xfId="0"/>
    <xf numFmtId="168" fontId="8" fillId="0" borderId="1" pivotButton="0" quotePrefix="0" xfId="0"/>
    <xf numFmtId="0" fontId="3" fillId="0" borderId="0" pivotButton="0" quotePrefix="0" xfId="0"/>
    <xf numFmtId="166" fontId="4" fillId="0" borderId="0" pivotButton="0" quotePrefix="0" xfId="0"/>
    <xf numFmtId="169" fontId="8" fillId="0" borderId="0" pivotButton="0" quotePrefix="0" xfId="0"/>
    <xf numFmtId="170" fontId="7" fillId="0" borderId="1" pivotButton="0" quotePrefix="0" xfId="0"/>
    <xf numFmtId="166" fontId="8" fillId="0" borderId="0" pivotButton="0" quotePrefix="0" xfId="0"/>
    <xf numFmtId="171" fontId="4" fillId="3" borderId="1" pivotButton="0" quotePrefix="0" xfId="0"/>
    <xf numFmtId="172" fontId="7" fillId="5" borderId="1" pivotButton="0" quotePrefix="0" xfId="0"/>
    <xf numFmtId="3" fontId="4" fillId="5" borderId="1" applyAlignment="1" pivotButton="0" quotePrefix="0" xfId="0">
      <alignment horizontal="center"/>
    </xf>
    <xf numFmtId="3" fontId="4" fillId="5" borderId="1" pivotButton="0" quotePrefix="0" xfId="0"/>
    <xf numFmtId="166" fontId="4" fillId="5" borderId="1" pivotButton="0" quotePrefix="0" xfId="0"/>
    <xf numFmtId="3" fontId="4" fillId="0" borderId="0" pivotButton="0" quotePrefix="0" xfId="0"/>
    <xf numFmtId="3" fontId="4" fillId="0" borderId="1" applyAlignment="1" pivotButton="0" quotePrefix="0" xfId="0">
      <alignment horizontal="center"/>
    </xf>
    <xf numFmtId="3" fontId="7" fillId="5" borderId="1" pivotButton="0" quotePrefix="0" xfId="0"/>
    <xf numFmtId="167" fontId="7" fillId="0" borderId="0" pivotButton="0" quotePrefix="0" xfId="0"/>
    <xf numFmtId="166" fontId="7" fillId="0" borderId="0" pivotButton="0" quotePrefix="0" xfId="0"/>
    <xf numFmtId="9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9" customWidth="1" min="4" max="4"/>
    <col width="62" customWidth="1" min="5" max="5"/>
  </cols>
  <sheetData>
    <row r="1" ht="24" customHeight="1">
      <c r="A1" s="1" t="inlineStr">
        <is>
          <t>AgroScout IA v3 — Presupuesto de desarrollo</t>
        </is>
      </c>
    </row>
    <row r="2">
      <c r="A2" s="2" t="inlineStr">
        <is>
          <t>CITEagroindustrial Chavimochic · Alcance: plan TIERSV3 (11 semanas) + módulo de análisis regulatorio por mercado</t>
        </is>
      </c>
    </row>
    <row r="4" ht="20" customHeight="1">
      <c r="A4" s="3" t="inlineStr">
        <is>
          <t>1 · INVERSIÓN DE DESARROLLO (una sola vez)</t>
        </is>
      </c>
      <c r="B4" s="4" t="n"/>
      <c r="C4" s="4" t="n"/>
      <c r="D4" s="4" t="n"/>
      <c r="E4" s="4" t="n"/>
    </row>
    <row r="5" ht="30" customHeight="1">
      <c r="A5" s="5" t="inlineStr">
        <is>
          <t>Concepto</t>
        </is>
      </c>
      <c r="B5" s="5" t="inlineStr">
        <is>
          <t>USD</t>
        </is>
      </c>
      <c r="C5" s="5" t="inlineStr">
        <is>
          <t>PEN</t>
        </is>
      </c>
      <c r="D5" s="5" t="inlineStr"/>
      <c r="E5" s="5" t="inlineStr">
        <is>
          <t>Nota</t>
        </is>
      </c>
    </row>
    <row r="6">
      <c r="A6" s="6" t="inlineStr">
        <is>
          <t>Horas del proyecto (2 personas + IA)</t>
        </is>
      </c>
      <c r="B6" s="7">
        <f>Esfuerzo!$G$60</f>
        <v/>
      </c>
      <c r="C6" s="8" t="inlineStr">
        <is>
          <t>—</t>
        </is>
      </c>
      <c r="D6" s="6" t="inlineStr"/>
      <c r="E6" s="9" t="inlineStr">
        <is>
          <t>Incluye gestión y contingencia. El mismo alcance sin IA son 1.700 h.</t>
        </is>
      </c>
    </row>
    <row r="7">
      <c r="A7" s="6" t="inlineStr">
        <is>
          <t>Costo interno de ejecución</t>
        </is>
      </c>
      <c r="B7" s="10">
        <f>Costo_Desarrollo!$D$23</f>
        <v/>
      </c>
      <c r="C7" s="11">
        <f>B7*Supuestos!$B$5</f>
        <v/>
      </c>
      <c r="D7" s="6" t="inlineStr"/>
      <c r="E7" s="9" t="inlineStr">
        <is>
          <t>Mano de obra + licencias de IA + infraestructura de dev.</t>
        </is>
      </c>
    </row>
    <row r="8">
      <c r="A8" s="6" t="inlineStr">
        <is>
          <t>Precio al cliente (sin IGV)</t>
        </is>
      </c>
      <c r="B8" s="10">
        <f>Costo_Desarrollo!$G$23</f>
        <v/>
      </c>
      <c r="C8" s="11">
        <f>B8*Supuestos!$B$5</f>
        <v/>
      </c>
      <c r="D8" s="6" t="inlineStr"/>
      <c r="E8" s="9" t="inlineStr">
        <is>
          <t>Es el número que va a la propuesta. Se cobra en 5 hitos.</t>
        </is>
      </c>
    </row>
    <row r="9">
      <c r="A9" s="6" t="inlineStr">
        <is>
          <t>Precio al cliente (con IGV)</t>
        </is>
      </c>
      <c r="B9" s="10">
        <f>Costo_Desarrollo!$G$25</f>
        <v/>
      </c>
      <c r="C9" s="11">
        <f>B9*Supuestos!$B$5</f>
        <v/>
      </c>
      <c r="D9" s="6" t="inlineStr"/>
      <c r="E9" s="9" t="inlineStr"/>
    </row>
    <row r="10">
      <c r="A10" s="6" t="inlineStr">
        <is>
          <t>Margen bruto</t>
        </is>
      </c>
      <c r="B10" s="12">
        <f>Costo_Desarrollo!$G$26</f>
        <v/>
      </c>
      <c r="C10" s="8" t="inlineStr">
        <is>
          <t>—</t>
        </is>
      </c>
      <c r="D10" s="6" t="inlineStr"/>
      <c r="E10" s="9" t="inlineStr">
        <is>
          <t>Sobre el precio sin IGV.</t>
        </is>
      </c>
    </row>
    <row r="11">
      <c r="A11" s="6" t="inlineStr">
        <is>
          <t>Plazo de entrega</t>
        </is>
      </c>
      <c r="B11" s="13">
        <f>Esfuerzo!$G$64</f>
        <v/>
      </c>
      <c r="C11" s="8" t="inlineStr">
        <is>
          <t>—</t>
        </is>
      </c>
      <c r="D11" s="6" t="inlineStr"/>
      <c r="E11" s="9" t="inlineStr">
        <is>
          <t>El plan original pide 11 semanas con 3 personas.</t>
        </is>
      </c>
    </row>
    <row r="13" ht="20" customHeight="1">
      <c r="A13" s="3" t="inlineStr">
        <is>
          <t>2 · LO QUE APORTA LA IA</t>
        </is>
      </c>
      <c r="B13" s="4" t="n"/>
      <c r="C13" s="4" t="n"/>
      <c r="D13" s="4" t="n"/>
      <c r="E13" s="4" t="n"/>
    </row>
    <row r="14" ht="30" customHeight="1">
      <c r="A14" s="5" t="inlineStr">
        <is>
          <t>Concepto</t>
        </is>
      </c>
      <c r="B14" s="5" t="inlineStr">
        <is>
          <t>Tradicional</t>
        </is>
      </c>
      <c r="C14" s="5" t="inlineStr">
        <is>
          <t>2 pers. + IA</t>
        </is>
      </c>
      <c r="D14" s="5" t="inlineStr">
        <is>
          <t>Diferencia</t>
        </is>
      </c>
      <c r="E14" s="5" t="inlineStr">
        <is>
          <t>Nota</t>
        </is>
      </c>
    </row>
    <row r="15">
      <c r="A15" s="6" t="inlineStr">
        <is>
          <t>Horas del proyecto</t>
        </is>
      </c>
      <c r="B15" s="7">
        <f>Esfuerzo!$E$60</f>
        <v/>
      </c>
      <c r="C15" s="7">
        <f>Esfuerzo!$G$60</f>
        <v/>
      </c>
      <c r="D15" s="12">
        <f>1-C15/B15</f>
        <v/>
      </c>
      <c r="E15" s="9" t="inlineStr">
        <is>
          <t>Reducción neta de esfuerzo.</t>
        </is>
      </c>
    </row>
    <row r="16">
      <c r="A16" s="6" t="inlineStr">
        <is>
          <t>Costo interno (USD)</t>
        </is>
      </c>
      <c r="B16" s="10">
        <f>Costo_Desarrollo!$D$35</f>
        <v/>
      </c>
      <c r="C16" s="10">
        <f>Costo_Desarrollo!$D$10</f>
        <v/>
      </c>
      <c r="D16" s="10">
        <f>B16-C16</f>
        <v/>
      </c>
      <c r="E16" s="9" t="inlineStr">
        <is>
          <t>Solo mano de obra, para comparar peras con peras.</t>
        </is>
      </c>
    </row>
    <row r="17">
      <c r="A17" s="6" t="inlineStr">
        <is>
          <t>Personas necesarias</t>
        </is>
      </c>
      <c r="B17" s="14" t="n">
        <v>3</v>
      </c>
      <c r="C17" s="14" t="n">
        <v>2</v>
      </c>
      <c r="D17" s="8" t="inlineStr">
        <is>
          <t>—</t>
        </is>
      </c>
      <c r="E17" s="9" t="inlineStr">
        <is>
          <t>1 dev senior a tiempo completo + 1 data/QA a medio tiempo.</t>
        </is>
      </c>
    </row>
    <row r="18">
      <c r="A18" s="6" t="inlineStr">
        <is>
          <t>Gasto en licencias de IA (todo el build)</t>
        </is>
      </c>
      <c r="B18" s="8" t="inlineStr">
        <is>
          <t>—</t>
        </is>
      </c>
      <c r="C18" s="10">
        <f>Herramientas_IA!$D$15*ROUNDUP(Esfuerzo!$G$64/4.33,0)</f>
        <v/>
      </c>
      <c r="D18" s="15">
        <f>(B16-C16)/C18</f>
        <v/>
      </c>
      <c r="E18" s="9" t="inlineStr">
        <is>
          <t>Cada dólar gastado en IA evita esa cantidad de dólares de mano de obra.</t>
        </is>
      </c>
    </row>
    <row r="19">
      <c r="A19" s="6" t="inlineStr">
        <is>
          <t>Infraestructura y observabilidad (USD/mes)</t>
        </is>
      </c>
      <c r="B19" s="10">
        <f>Infraestructura!$B$30</f>
        <v/>
      </c>
      <c r="C19" s="10">
        <f>Infraestructura!$C$30</f>
        <v/>
      </c>
      <c r="D19" s="12">
        <f>1-C19/B19</f>
        <v/>
      </c>
      <c r="E19" s="9" t="inlineStr">
        <is>
          <t>Huawei + Prometheus/Grafana autoalojados + Slack en vez de PagerDuty, frente al diseño sobre AWS de PLAN-MVP-v3 §10. Comparación línea a línea en la hoja Infraestructura.</t>
        </is>
      </c>
    </row>
    <row r="21" ht="20" customHeight="1">
      <c r="A21" s="3" t="inlineStr">
        <is>
          <t>3 · OPERACIÓN (a partir del go-live)</t>
        </is>
      </c>
      <c r="B21" s="4" t="n"/>
      <c r="C21" s="4" t="n"/>
      <c r="D21" s="4" t="n"/>
      <c r="E21" s="4" t="n"/>
    </row>
    <row r="22" ht="30" customHeight="1">
      <c r="A22" s="5" t="inlineStr">
        <is>
          <t>Concepto</t>
        </is>
      </c>
      <c r="B22" s="5" t="inlineStr">
        <is>
          <t>USD/mes</t>
        </is>
      </c>
      <c r="C22" s="5" t="inlineStr">
        <is>
          <t>PEN/mes</t>
        </is>
      </c>
      <c r="D22" s="5" t="inlineStr">
        <is>
          <t>USD/año</t>
        </is>
      </c>
      <c r="E22" s="5" t="inlineStr">
        <is>
          <t>Nota</t>
        </is>
      </c>
    </row>
    <row r="23">
      <c r="A23" s="6" t="inlineStr">
        <is>
          <t>Infraestructura Huawei (producción)</t>
        </is>
      </c>
      <c r="B23" s="10">
        <f>Infraestructura!$D$14</f>
        <v/>
      </c>
      <c r="C23" s="11">
        <f>B23*Supuestos!$B$5</f>
        <v/>
      </c>
      <c r="D23" s="10">
        <f>B23*12</f>
        <v/>
      </c>
      <c r="E23" s="9" t="inlineStr">
        <is>
          <t>2 ECS, RDS con réplica, OBS, CBR, CDN.</t>
        </is>
      </c>
    </row>
    <row r="24">
      <c r="A24" s="6" t="inlineStr">
        <is>
          <t>Licencias, APIs y observabilidad</t>
        </is>
      </c>
      <c r="B24" s="10">
        <f>Herramientas_IA!$D$14</f>
        <v/>
      </c>
      <c r="C24" s="11">
        <f>B24*Supuestos!$B$5</f>
        <v/>
      </c>
      <c r="D24" s="10">
        <f>B24*12</f>
        <v/>
      </c>
      <c r="E24" s="9" t="inlineStr">
        <is>
          <t>Bright Data, Tavily, Claude Code, Logfire.</t>
        </is>
      </c>
    </row>
    <row r="25">
      <c r="A25" s="6" t="inlineStr">
        <is>
          <t>Mantenimiento y soporte</t>
        </is>
      </c>
      <c r="B25" s="10">
        <f>Supuestos!$B$50</f>
        <v/>
      </c>
      <c r="C25" s="11">
        <f>B25*Supuestos!$B$5</f>
        <v/>
      </c>
      <c r="D25" s="10">
        <f>B25*12</f>
        <v/>
      </c>
      <c r="E25" s="9" t="inlineStr">
        <is>
          <t>0,25 FTE del dev senior.</t>
        </is>
      </c>
    </row>
    <row r="26">
      <c r="A26" s="16" t="inlineStr">
        <is>
          <t>TOTAL FIJO</t>
        </is>
      </c>
      <c r="B26" s="17">
        <f>SUM(B23:B25)</f>
        <v/>
      </c>
      <c r="C26" s="18">
        <f>B26*Supuestos!$B$5</f>
        <v/>
      </c>
      <c r="D26" s="17">
        <f>B26*12</f>
        <v/>
      </c>
      <c r="E26" s="19" t="inlineStr">
        <is>
          <t>El costo variable de LLM se suma aparte: menos de US$ 0,10 por consulta.</t>
        </is>
      </c>
    </row>
    <row r="27">
      <c r="A27" s="6" t="inlineStr">
        <is>
          <t>Costo variable por consulta</t>
        </is>
      </c>
      <c r="B27" s="20">
        <f>Supuestos!$B$46</f>
        <v/>
      </c>
      <c r="C27" s="21">
        <f>B27*Supuestos!$B$5</f>
        <v/>
      </c>
      <c r="D27" s="8" t="inlineStr">
        <is>
          <t>—</t>
        </is>
      </c>
      <c r="E27" s="9" t="inlineStr">
        <is>
          <t>Promedio ponderado: 60 % gratuitas, 40 % premium, 30 % con análisis de aditivos.</t>
        </is>
      </c>
    </row>
    <row r="29" ht="20" customHeight="1">
      <c r="A29" s="3" t="inlineStr">
        <is>
          <t>4 · PROYECCIÓN A 36 MESES</t>
        </is>
      </c>
      <c r="B29" s="4" t="n"/>
      <c r="C29" s="4" t="n"/>
      <c r="D29" s="4" t="n"/>
      <c r="E29" s="4" t="n"/>
    </row>
    <row r="30" ht="30" customHeight="1">
      <c r="A30" s="5" t="inlineStr">
        <is>
          <t>Indicador</t>
        </is>
      </c>
      <c r="B30" s="5" t="inlineStr">
        <is>
          <t>Conservador</t>
        </is>
      </c>
      <c r="C30" s="5" t="inlineStr">
        <is>
          <t>Base</t>
        </is>
      </c>
      <c r="D30" s="5" t="inlineStr">
        <is>
          <t>Optimista</t>
        </is>
      </c>
      <c r="E30" s="5" t="inlineStr">
        <is>
          <t>Nota</t>
        </is>
      </c>
    </row>
    <row r="31">
      <c r="A31" s="6" t="inlineStr">
        <is>
          <t>Ingreso recurrente mes 12 (USD/mes)</t>
        </is>
      </c>
      <c r="B31" s="10">
        <f>Escenarios!$B$6</f>
        <v/>
      </c>
      <c r="C31" s="22">
        <f>Escenarios!$C$6</f>
        <v/>
      </c>
      <c r="D31" s="10">
        <f>Escenarios!$D$6</f>
        <v/>
      </c>
      <c r="E31" s="9" t="inlineStr"/>
    </row>
    <row r="32">
      <c r="A32" s="6" t="inlineStr">
        <is>
          <t>Ingreso recurrente mes 36 (USD/mes)</t>
        </is>
      </c>
      <c r="B32" s="10">
        <f>Escenarios!$B$8</f>
        <v/>
      </c>
      <c r="C32" s="22">
        <f>Escenarios!$C$8</f>
        <v/>
      </c>
      <c r="D32" s="10">
        <f>Escenarios!$D$8</f>
        <v/>
      </c>
      <c r="E32" s="9" t="inlineStr"/>
    </row>
    <row r="33">
      <c r="A33" s="6" t="inlineStr">
        <is>
          <t>Resultado acumulado 36 m (USD)</t>
        </is>
      </c>
      <c r="B33" s="10">
        <f>Escenarios!$B$10</f>
        <v/>
      </c>
      <c r="C33" s="22">
        <f>Escenarios!$C$10</f>
        <v/>
      </c>
      <c r="D33" s="10">
        <f>Escenarios!$D$10</f>
        <v/>
      </c>
      <c r="E33" s="9" t="inlineStr">
        <is>
          <t>Con el modelo de negocio elegido en Supuestos.</t>
        </is>
      </c>
    </row>
    <row r="34">
      <c r="A34" s="6" t="inlineStr">
        <is>
          <t>Mes de equilibrio operativo</t>
        </is>
      </c>
      <c r="B34" s="14">
        <f>Escenarios!$B$12</f>
        <v/>
      </c>
      <c r="C34" s="23">
        <f>Escenarios!$C$12</f>
        <v/>
      </c>
      <c r="D34" s="14">
        <f>Escenarios!$D$12</f>
        <v/>
      </c>
      <c r="E34" s="9" t="inlineStr">
        <is>
          <t>Cuando la suscripción cubre infraestructura, soporte y LLM.</t>
        </is>
      </c>
    </row>
    <row r="35">
      <c r="A35" s="6" t="inlineStr">
        <is>
          <t>Mes de recuperación de la inversión</t>
        </is>
      </c>
      <c r="B35" s="14">
        <f>Escenarios!$B$13</f>
        <v/>
      </c>
      <c r="C35" s="23">
        <f>Escenarios!$C$13</f>
        <v/>
      </c>
      <c r="D35" s="14">
        <f>Escenarios!$D$13</f>
        <v/>
      </c>
      <c r="E35" s="9" t="inlineStr"/>
    </row>
    <row r="38" ht="20" customHeight="1">
      <c r="A38" s="3" t="inlineStr">
        <is>
          <t>5 · CÓMO LEER ESTE LIBRO</t>
        </is>
      </c>
      <c r="B38" s="4" t="n"/>
      <c r="C38" s="4" t="n"/>
      <c r="D38" s="4" t="n"/>
      <c r="E38" s="4" t="n"/>
    </row>
    <row r="39">
      <c r="A39" s="24" t="inlineStr">
        <is>
          <t>Supuestos</t>
        </is>
      </c>
      <c r="B39" s="25" t="inlineStr">
        <is>
          <t>Todo lo editable: tipo de cambio, tarifas, factores de IA, precios de plan, adopción.</t>
        </is>
      </c>
    </row>
    <row r="40">
      <c r="A40" s="24" t="inlineStr">
        <is>
          <t>Esfuerzo</t>
        </is>
      </c>
      <c r="B40" s="25" t="inlineStr">
        <is>
          <t>Actividad por actividad, horas base contra horas con IA. Es el corazón del cálculo.</t>
        </is>
      </c>
    </row>
    <row r="41">
      <c r="A41" s="24" t="inlineStr">
        <is>
          <t>Costo_Desarrollo</t>
        </is>
      </c>
      <c r="B41" s="25" t="inlineStr">
        <is>
          <t>Precio y costo por rol, más la comparación contra el equipo tradicional.</t>
        </is>
      </c>
    </row>
    <row r="42">
      <c r="A42" s="24" t="inlineStr">
        <is>
          <t>Herramientas_IA</t>
        </is>
      </c>
      <c r="B42" s="25" t="inlineStr">
        <is>
          <t>Qué se paga en licencias y cuánto trabajo evita cada dólar.</t>
        </is>
      </c>
    </row>
    <row r="43">
      <c r="A43" s="24" t="inlineStr">
        <is>
          <t>Infraestructura</t>
        </is>
      </c>
      <c r="B43" s="25" t="inlineStr">
        <is>
          <t>Huawei Cloud mes a mes y el ahorro frente al diseño original en AWS.</t>
        </is>
      </c>
    </row>
    <row r="44">
      <c r="A44" s="24" t="inlineStr">
        <is>
          <t>Costo_LLM</t>
        </is>
      </c>
      <c r="B44" s="25" t="inlineStr">
        <is>
          <t>Costo por etapa y por volumen: el margen sobre el uso no baja del 95 %.</t>
        </is>
      </c>
    </row>
    <row r="45">
      <c r="A45" s="24" t="inlineStr">
        <is>
          <t>Proyeccion_36m</t>
        </is>
      </c>
      <c r="B45" s="25" t="inlineStr">
        <is>
          <t>36 meses de ingresos, costos y caja en tres escenarios.</t>
        </is>
      </c>
    </row>
    <row r="46">
      <c r="A46" s="24" t="inlineStr">
        <is>
          <t>Escenarios</t>
        </is>
      </c>
      <c r="B46" s="25" t="inlineStr">
        <is>
          <t>Sensibilidad y riesgos cuantificados en horas y dólares.</t>
        </is>
      </c>
    </row>
    <row r="47">
      <c r="A47" s="24" t="inlineStr">
        <is>
          <t>Hitos_Pago</t>
        </is>
      </c>
      <c r="B47" s="25" t="inlineStr">
        <is>
          <t>Cinco hitos, cada uno atado a una prueba que se ejecuta delante del cliente.</t>
        </is>
      </c>
    </row>
    <row r="49">
      <c r="A49" s="26" t="inlineStr">
        <is>
          <t>Fuentes: TIERSV3/README.md · PLAN-MVP-v3.md · INFRA-HUAWEI-CLOUD.md · DECISION-D2-PROVEEDOR-LLM.md · PLAN-ANALISIS-INGREDIENTES.md</t>
        </is>
      </c>
    </row>
  </sheetData>
  <mergeCells count="9">
    <mergeCell ref="B45:E45"/>
    <mergeCell ref="B40:E40"/>
    <mergeCell ref="B41:E41"/>
    <mergeCell ref="B43:E43"/>
    <mergeCell ref="B44:E44"/>
    <mergeCell ref="B39:E39"/>
    <mergeCell ref="B47:E47"/>
    <mergeCell ref="B42:E42"/>
    <mergeCell ref="B46:E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58" customWidth="1" min="4" max="4"/>
  </cols>
  <sheetData>
    <row r="1" ht="24" customHeight="1">
      <c r="A1" s="1" t="inlineStr">
        <is>
          <t>Supuestos y parámetros del modelo</t>
        </is>
      </c>
    </row>
    <row r="2">
      <c r="A2" s="2" t="inlineStr">
        <is>
          <t>Todas las celdas color arena son editables: el resto del libro se recalcula solo.</t>
        </is>
      </c>
    </row>
    <row r="4" ht="20" customHeight="1">
      <c r="A4" s="3" t="inlineStr">
        <is>
          <t>1 · PARÁMETROS GENERALES</t>
        </is>
      </c>
      <c r="B4" s="4" t="n"/>
      <c r="C4" s="4" t="n"/>
      <c r="D4" s="4" t="n"/>
    </row>
    <row r="5">
      <c r="A5" s="6" t="inlineStr">
        <is>
          <t>Tipo de cambio USD → PEN</t>
        </is>
      </c>
      <c r="B5" s="27" t="n">
        <v>3.75</v>
      </c>
      <c r="D5" s="26" t="inlineStr">
        <is>
          <t>Referencial; ajustar al del contrato.</t>
        </is>
      </c>
    </row>
    <row r="6">
      <c r="A6" s="6" t="inlineStr">
        <is>
          <t>IGV</t>
        </is>
      </c>
      <c r="B6" s="28" t="n">
        <v>0.18</v>
      </c>
      <c r="D6" s="26" t="inlineStr">
        <is>
          <t>Se muestra por separado; el precio base es sin IGV.</t>
        </is>
      </c>
    </row>
    <row r="7">
      <c r="A7" s="6" t="inlineStr">
        <is>
          <t>Horas efectivas/semana — Dev Senior</t>
        </is>
      </c>
      <c r="B7" s="29" t="n">
        <v>34</v>
      </c>
      <c r="D7" s="26" t="inlineStr">
        <is>
          <t>40 h nominales × 85 % de productividad real.</t>
        </is>
      </c>
    </row>
    <row r="8">
      <c r="A8" s="6" t="inlineStr">
        <is>
          <t>Horas efectivas/semana — Data/QA</t>
        </is>
      </c>
      <c r="B8" s="29" t="n">
        <v>20</v>
      </c>
      <c r="D8" s="26" t="inlineStr">
        <is>
          <t>Medio tiempo (0,5 FTE).</t>
        </is>
      </c>
    </row>
    <row r="9">
      <c r="A9" s="6" t="inlineStr">
        <is>
          <t>Semanas del plan original (equipo 3-4 pers.)</t>
        </is>
      </c>
      <c r="B9" s="29" t="n">
        <v>11</v>
      </c>
      <c r="D9" s="26" t="inlineStr">
        <is>
          <t>TIERSV3: S1–S11, ruta crítica sin paralelización.</t>
        </is>
      </c>
    </row>
    <row r="10">
      <c r="A10" s="6" t="inlineStr">
        <is>
          <t>Modelo de negocio (1 = producto propio · 2 = contrato CITE)</t>
        </is>
      </c>
      <c r="B10" s="29" t="n">
        <v>2</v>
      </c>
      <c r="D10" s="26" t="inlineStr">
        <is>
          <t>1: la inversión la absorbe Codeplai. 2: el CITE paga por hitos (hoja Hitos_Pago).</t>
        </is>
      </c>
    </row>
    <row r="12" ht="20" customHeight="1">
      <c r="A12" s="3" t="inlineStr">
        <is>
          <t>2 · TARIFAS POR ROL (USD/hora)</t>
        </is>
      </c>
      <c r="B12" s="4" t="n"/>
      <c r="C12" s="4" t="n"/>
      <c r="D12" s="4" t="n"/>
    </row>
    <row r="13" ht="30" customHeight="1">
      <c r="A13" s="5" t="inlineStr">
        <is>
          <t>Rol</t>
        </is>
      </c>
      <c r="B13" s="5" t="inlineStr">
        <is>
          <t>Costo</t>
        </is>
      </c>
      <c r="C13" s="5" t="inlineStr">
        <is>
          <t>Venta</t>
        </is>
      </c>
      <c r="D13" s="5" t="inlineStr">
        <is>
          <t>Nota</t>
        </is>
      </c>
    </row>
    <row r="14">
      <c r="A14" s="6" t="inlineStr">
        <is>
          <t>Dev Senior Full-stack + IA</t>
        </is>
      </c>
      <c r="B14" s="30" t="n">
        <v>26</v>
      </c>
      <c r="C14" s="30" t="n">
        <v>48</v>
      </c>
      <c r="D14" s="26" t="inlineStr">
        <is>
          <t>Perfil que lleva el grueso del código asistido por Claude Code.</t>
        </is>
      </c>
    </row>
    <row r="15">
      <c r="A15" s="6" t="inlineStr">
        <is>
          <t>Data / QA (medio tiempo)</t>
        </is>
      </c>
      <c r="B15" s="30" t="n">
        <v>16</v>
      </c>
      <c r="C15" s="30" t="n">
        <v>32</v>
      </c>
      <c r="D15" s="26" t="inlineStr">
        <is>
          <t>Pruebas, carga, ETL de apoyo y validación de datos.</t>
        </is>
      </c>
    </row>
    <row r="16">
      <c r="A16" s="6" t="inlineStr">
        <is>
          <t>Especialista regulatorio</t>
        </is>
      </c>
      <c r="B16" s="30" t="n">
        <v>22</v>
      </c>
      <c r="C16" s="30" t="n">
        <v>42</v>
      </c>
      <c r="D16" s="26" t="inlineStr">
        <is>
          <t>Curación manual de Codex/GSFA. La IA no acelera esto.</t>
        </is>
      </c>
    </row>
    <row r="17">
      <c r="A17" s="6" t="inlineStr">
        <is>
          <t>Dirección técnica / PM</t>
        </is>
      </c>
      <c r="B17" s="30" t="n">
        <v>32</v>
      </c>
      <c r="C17" s="30" t="n">
        <v>60</v>
      </c>
      <c r="D17" s="26" t="inlineStr">
        <is>
          <t>Coordinación, hitos, interlocución con el CITE.</t>
        </is>
      </c>
    </row>
    <row r="19" ht="20" customHeight="1">
      <c r="A19" s="3" t="inlineStr">
        <is>
          <t>3 · FACTORES DE ACELERACIÓN POR IA</t>
        </is>
      </c>
      <c r="B19" s="4" t="n"/>
      <c r="C19" s="4" t="n"/>
      <c r="D19" s="4" t="n"/>
    </row>
    <row r="20" ht="30" customHeight="1">
      <c r="A20" s="5" t="inlineStr">
        <is>
          <t>Tipo de tarea</t>
        </is>
      </c>
      <c r="B20" s="5" t="inlineStr">
        <is>
          <t>Factor</t>
        </is>
      </c>
      <c r="C20" s="5" t="inlineStr">
        <is>
          <t>Equivale a</t>
        </is>
      </c>
      <c r="D20" s="5" t="inlineStr">
        <is>
          <t>Justificación</t>
        </is>
      </c>
    </row>
    <row r="21">
      <c r="A21" s="6" t="inlineStr">
        <is>
          <t>Código de aplicación</t>
        </is>
      </c>
      <c r="B21" s="31" t="n">
        <v>0.3</v>
      </c>
      <c r="C21" s="32">
        <f>IF(B21=0,"",1/B21)</f>
        <v/>
      </c>
      <c r="D21" s="26" t="inlineStr">
        <is>
          <t>Andamiaje, contratos Pydantic, endpoints y UI generados y revisados.</t>
        </is>
      </c>
    </row>
    <row r="22">
      <c r="A22" s="6" t="inlineStr">
        <is>
          <t>Integraciones / ETL / parsers</t>
        </is>
      </c>
      <c r="B22" s="31" t="n">
        <v>0.35</v>
      </c>
      <c r="C22" s="32">
        <f>IF(B22=0,"",1/B22)</f>
        <v/>
      </c>
      <c r="D22" s="26" t="inlineStr">
        <is>
          <t>Parsers de eCFR/EUR-Lex/RASFF: la IA escribe, la sonda manda.</t>
        </is>
      </c>
    </row>
    <row r="23">
      <c r="A23" s="6" t="inlineStr">
        <is>
          <t>Infraestructura / DevOps</t>
        </is>
      </c>
      <c r="B23" s="31" t="n">
        <v>0.6</v>
      </c>
      <c r="C23" s="32">
        <f>IF(B23=0,"",1/B23)</f>
        <v/>
      </c>
      <c r="D23" s="26" t="inlineStr">
        <is>
          <t>Hay esperas reales (aprovisionamiento, DNS, TLS) que no se aceleran.</t>
        </is>
      </c>
    </row>
    <row r="24">
      <c r="A24" s="6" t="inlineStr">
        <is>
          <t>Pruebas / QA / carga</t>
        </is>
      </c>
      <c r="B24" s="31" t="n">
        <v>0.4</v>
      </c>
      <c r="C24" s="32">
        <f>IF(B24=0,"",1/B24)</f>
        <v/>
      </c>
      <c r="D24" s="26" t="inlineStr">
        <is>
          <t>Suites generadas a partir del contrato; el load test tarda lo que tarda.</t>
        </is>
      </c>
    </row>
    <row r="25">
      <c r="A25" s="6" t="inlineStr">
        <is>
          <t>Curación manual de datos</t>
        </is>
      </c>
      <c r="B25" s="31" t="n">
        <v>0.95</v>
      </c>
      <c r="C25" s="32">
        <f>IF(B25=0,"",1/B25)</f>
        <v/>
      </c>
      <c r="D25" s="26" t="inlineStr">
        <is>
          <t>Codex/GSFA se cura a mano: la FAO prohíbe el rastreo en su robots.txt.</t>
        </is>
      </c>
    </row>
    <row r="26">
      <c r="A26" s="6" t="inlineStr">
        <is>
          <t>Documentación / capacitación</t>
        </is>
      </c>
      <c r="B26" s="31" t="n">
        <v>0.25</v>
      </c>
      <c r="C26" s="32">
        <f>IF(B26=0,"",1/B26)</f>
        <v/>
      </c>
      <c r="D26" s="26" t="inlineStr">
        <is>
          <t>Runbooks y material de capacitación a partir del propio repo.</t>
        </is>
      </c>
    </row>
    <row r="28" ht="20" customHeight="1">
      <c r="A28" s="3" t="inlineStr">
        <is>
          <t>4 · SOBRECOSTES DE PROYECTO</t>
        </is>
      </c>
      <c r="B28" s="4" t="n"/>
      <c r="C28" s="4" t="n"/>
      <c r="D28" s="4" t="n"/>
    </row>
    <row r="29">
      <c r="A29" s="6" t="inlineStr">
        <is>
          <t>Gestión / PM (% sobre horas técnicas)</t>
        </is>
      </c>
      <c r="B29" s="28" t="n">
        <v>0.1</v>
      </c>
      <c r="D29" s="26" t="inlineStr">
        <is>
          <t>Se factura como rol propio a tarifa de dirección técnica.</t>
        </is>
      </c>
    </row>
    <row r="30">
      <c r="A30" s="6" t="inlineStr">
        <is>
          <t>Contingencia (% sobre horas totales)</t>
        </is>
      </c>
      <c r="B30" s="28" t="n">
        <v>0.15</v>
      </c>
      <c r="D30" s="26" t="inlineStr">
        <is>
          <t>Colchón para reaperturas: Codex bloqueado, latencia de glm-5.2, anti-bot.</t>
        </is>
      </c>
    </row>
    <row r="31">
      <c r="A31" s="6" t="inlineStr">
        <is>
          <t>Margen sobre costos directos de terceros</t>
        </is>
      </c>
      <c r="B31" s="28" t="n">
        <v>0.15</v>
      </c>
      <c r="D31" s="26" t="inlineStr">
        <is>
          <t>Se aplica a licencias e infraestructura reembolsadas al cliente.</t>
        </is>
      </c>
    </row>
    <row r="33" ht="20" customHeight="1">
      <c r="A33" s="3" t="inlineStr">
        <is>
          <t>5 · PRECIOS DE SUSCRIPCIÓN (USD/mes, sin IGV)</t>
        </is>
      </c>
      <c r="B33" s="4" t="n"/>
      <c r="C33" s="4" t="n"/>
      <c r="D33" s="4" t="n"/>
    </row>
    <row r="34" ht="30" customHeight="1">
      <c r="A34" s="5" t="inlineStr">
        <is>
          <t>Plan</t>
        </is>
      </c>
      <c r="B34" s="5" t="inlineStr">
        <is>
          <t>Precio/mes</t>
        </is>
      </c>
      <c r="C34" s="5" t="inlineStr">
        <is>
          <t>Consultas/mes</t>
        </is>
      </c>
      <c r="D34" s="5" t="inlineStr">
        <is>
          <t>Perfil</t>
        </is>
      </c>
    </row>
    <row r="35">
      <c r="A35" s="6" t="inlineStr">
        <is>
          <t>Básico</t>
        </is>
      </c>
      <c r="B35" s="33" t="n">
        <v>29</v>
      </c>
      <c r="C35" s="29" t="n">
        <v>10</v>
      </c>
      <c r="D35" s="26" t="inlineStr">
        <is>
          <t>Mipyme / productor individual.</t>
        </is>
      </c>
    </row>
    <row r="36">
      <c r="A36" s="6" t="inlineStr">
        <is>
          <t>Avanzado</t>
        </is>
      </c>
      <c r="B36" s="33" t="n">
        <v>99</v>
      </c>
      <c r="C36" s="29" t="n">
        <v>40</v>
      </c>
      <c r="D36" s="26" t="inlineStr">
        <is>
          <t>Cooperativa / agroexportadora: regulatorio + PDF.</t>
        </is>
      </c>
    </row>
    <row r="37">
      <c r="A37" s="6" t="inlineStr">
        <is>
          <t>Institucional</t>
        </is>
      </c>
      <c r="B37" s="33" t="n">
        <v>800</v>
      </c>
      <c r="C37" s="29" t="n">
        <v>200</v>
      </c>
      <c r="D37" s="26" t="inlineStr">
        <is>
          <t>CITE Chavimochic y red ITP: panel, agregados, multiusuario.</t>
        </is>
      </c>
    </row>
    <row r="39" ht="20" customHeight="1">
      <c r="A39" s="3" t="inlineStr">
        <is>
          <t>6 · COSTO VARIABLE POR CONSULTA (USD)</t>
        </is>
      </c>
      <c r="B39" s="4" t="n"/>
      <c r="C39" s="4" t="n"/>
      <c r="D39" s="4" t="n"/>
    </row>
    <row r="41">
      <c r="A41" s="6" t="inlineStr">
        <is>
          <t>Run gratuito — etapas 1-3</t>
        </is>
      </c>
      <c r="B41" s="30" t="n">
        <v>0.008</v>
      </c>
      <c r="D41" s="26" t="inlineStr">
        <is>
          <t>Medido: deepseek-v4-flash en E1/E2a + glm-4.7 en E3.</t>
        </is>
      </c>
    </row>
    <row r="42">
      <c r="A42" s="6" t="inlineStr">
        <is>
          <t>Run premium — etapas 1-5 + agente comercial</t>
        </is>
      </c>
      <c r="B42" s="30" t="n">
        <v>0.21</v>
      </c>
      <c r="D42" s="26" t="inlineStr">
        <is>
          <t>Run premium en frío según INFRA-HUAWEI-CLOUD §8.</t>
        </is>
      </c>
    </row>
    <row r="43">
      <c r="A43" s="6" t="inlineStr">
        <is>
          <t>Análisis regulatorio de aditivos (en frío)</t>
        </is>
      </c>
      <c r="B43" s="30" t="n">
        <v>0.05</v>
      </c>
      <c r="D43" s="26" t="inlineStr">
        <is>
          <t>~4 aditivos × glm-5.2; en caliente el caché lo deja en 0.</t>
        </is>
      </c>
    </row>
    <row r="44">
      <c r="A44" s="6" t="inlineStr">
        <is>
          <t>% de runs premium</t>
        </is>
      </c>
      <c r="B44" s="28" t="n">
        <v>0.4</v>
      </c>
      <c r="D44" s="26" t="inlineStr">
        <is>
          <t>El resto son gratuitos (paywall de etapas 4-5).</t>
        </is>
      </c>
    </row>
    <row r="45">
      <c r="A45" s="6" t="inlineStr">
        <is>
          <t>% de runs con análisis de aditivos</t>
        </is>
      </c>
      <c r="B45" s="28" t="n">
        <v>0.3</v>
      </c>
      <c r="D45" s="26" t="inlineStr">
        <is>
          <t>Solo las filas del mapa comercial que el usuario abre.</t>
        </is>
      </c>
    </row>
    <row r="46">
      <c r="A46" s="34" t="inlineStr">
        <is>
          <t>Costo promedio por consulta</t>
        </is>
      </c>
      <c r="B46" s="35">
        <f>(1-B44)*B41+B44*B42+B45*B43</f>
        <v/>
      </c>
      <c r="D46" s="26" t="inlineStr">
        <is>
          <t>Calculado. Es el número que mueve el costo variable de la proyección.</t>
        </is>
      </c>
    </row>
    <row r="48" ht="20" customHeight="1">
      <c r="A48" s="3" t="inlineStr">
        <is>
          <t>7 · OPERACIÓN Y ADOPCIÓN</t>
        </is>
      </c>
      <c r="B48" s="4" t="n"/>
      <c r="C48" s="4" t="n"/>
      <c r="D48" s="4" t="n"/>
    </row>
    <row r="49">
      <c r="A49" s="6" t="inlineStr">
        <is>
          <t>Mantenimiento y soporte (h/mes)</t>
        </is>
      </c>
      <c r="B49" s="29" t="n">
        <v>40</v>
      </c>
      <c r="D49" s="26" t="inlineStr">
        <is>
          <t>0,25 FTE del dev senior: correctivo, corpus, canarios y atención al CITE.</t>
        </is>
      </c>
    </row>
    <row r="50">
      <c r="A50" s="34" t="inlineStr">
        <is>
          <t>Costo de mantenimiento (USD/mes)</t>
        </is>
      </c>
      <c r="B50" s="17">
        <f>Supuestos!$B$49*$B$14</f>
        <v/>
      </c>
    </row>
    <row r="51">
      <c r="A51" s="6" t="inlineStr">
        <is>
          <t>Factor de adopción — Conservador</t>
        </is>
      </c>
      <c r="B51" s="31" t="n">
        <v>0.6</v>
      </c>
      <c r="D51" s="26" t="inlineStr">
        <is>
          <t>Solo el CITE y un puñado de cooperativas.</t>
        </is>
      </c>
    </row>
    <row r="52">
      <c r="A52" s="6" t="inlineStr">
        <is>
          <t>Factor de adopción — Base</t>
        </is>
      </c>
      <c r="B52" s="31" t="n">
        <v>1</v>
      </c>
      <c r="D52" s="26" t="inlineStr">
        <is>
          <t>Curva de la hoja Proyeccion_36m tal cual.</t>
        </is>
      </c>
    </row>
    <row r="53">
      <c r="A53" s="6" t="inlineStr">
        <is>
          <t>Factor de adopción — Optimista</t>
        </is>
      </c>
      <c r="B53" s="31" t="n">
        <v>1.6</v>
      </c>
      <c r="D53" s="26" t="inlineStr">
        <is>
          <t>Réplica a otros CITEs de la red ITP.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30" customWidth="1" min="3" max="3"/>
    <col width="27" customWidth="1" min="4" max="4"/>
    <col width="11" customWidth="1" min="5" max="5"/>
    <col width="10" customWidth="1" min="6" max="6"/>
    <col width="12" customWidth="1" min="7" max="7"/>
    <col width="13" customWidth="1" min="8" max="8"/>
  </cols>
  <sheetData>
    <row r="1" ht="24" customHeight="1">
      <c r="A1" s="1" t="inlineStr">
        <is>
          <t>Esfuerzo por actividad — equipo tradicional vs. 2 personas + IA</t>
        </is>
      </c>
    </row>
    <row r="2">
      <c r="A2" s="2" t="inlineStr">
        <is>
          <t>Horas base = lo que costaría el plan TIERSV3 con 3 personas. Horas con IA = horas base × factor de la hoja Supuestos.</t>
        </is>
      </c>
    </row>
    <row r="4" ht="30" customHeight="1">
      <c r="A4" s="5" t="inlineStr">
        <is>
          <t>Bloque</t>
        </is>
      </c>
      <c r="B4" s="5" t="inlineStr">
        <is>
          <t>Actividad</t>
        </is>
      </c>
      <c r="C4" s="5" t="inlineStr">
        <is>
          <t>Tipo de tarea</t>
        </is>
      </c>
      <c r="D4" s="5" t="inlineStr">
        <is>
          <t>Rol</t>
        </is>
      </c>
      <c r="E4" s="5" t="inlineStr">
        <is>
          <t>Horas base</t>
        </is>
      </c>
      <c r="F4" s="5" t="inlineStr">
        <is>
          <t>Factor IA</t>
        </is>
      </c>
      <c r="G4" s="5" t="inlineStr">
        <is>
          <t>Horas con IA</t>
        </is>
      </c>
      <c r="H4" s="5" t="inlineStr">
        <is>
          <t>Horas ahorradas</t>
        </is>
      </c>
    </row>
    <row r="5">
      <c r="A5" s="8" t="inlineStr">
        <is>
          <t>S1</t>
        </is>
      </c>
      <c r="B5" s="6" t="inlineStr">
        <is>
          <t>VPC, Postgres replicado, balanceador y 2 nodos API</t>
        </is>
      </c>
      <c r="C5" s="6" t="inlineStr">
        <is>
          <t>Infraestructura / DevOps</t>
        </is>
      </c>
      <c r="D5" s="6" t="inlineStr">
        <is>
          <t>Dev Senior Full-stack + IA</t>
        </is>
      </c>
      <c r="E5" s="7" t="n">
        <v>40</v>
      </c>
      <c r="F5" s="36">
        <f>VLOOKUP(C5,Supuestos!$A$21:$B$26,2,FALSE)</f>
        <v/>
      </c>
      <c r="G5" s="7">
        <f>E5*F5</f>
        <v/>
      </c>
      <c r="H5" s="7">
        <f>E5-G5</f>
        <v/>
      </c>
    </row>
    <row r="6">
      <c r="A6" s="8" t="inlineStr">
        <is>
          <t>S1</t>
        </is>
      </c>
      <c r="B6" s="6" t="inlineStr">
        <is>
          <t>Observabilidad, object storage, CDN y TLS</t>
        </is>
      </c>
      <c r="C6" s="6" t="inlineStr">
        <is>
          <t>Infraestructura / DevOps</t>
        </is>
      </c>
      <c r="D6" s="6" t="inlineStr">
        <is>
          <t>Dev Senior Full-stack + IA</t>
        </is>
      </c>
      <c r="E6" s="7" t="n">
        <v>24</v>
      </c>
      <c r="F6" s="36">
        <f>VLOOKUP(C6,Supuestos!$A$21:$B$26,2,FALSE)</f>
        <v/>
      </c>
      <c r="G6" s="7">
        <f>E6*F6</f>
        <v/>
      </c>
      <c r="H6" s="7">
        <f>E6-G6</f>
        <v/>
      </c>
    </row>
    <row r="7">
      <c r="A7" s="8" t="inlineStr">
        <is>
          <t>S1</t>
        </is>
      </c>
      <c r="B7" s="6" t="inlineStr">
        <is>
          <t>Pruebas de restore y failover (P16)</t>
        </is>
      </c>
      <c r="C7" s="6" t="inlineStr">
        <is>
          <t>Pruebas / QA / carga</t>
        </is>
      </c>
      <c r="D7" s="6" t="inlineStr">
        <is>
          <t>Data / QA (medio tiempo)</t>
        </is>
      </c>
      <c r="E7" s="7" t="n">
        <v>16</v>
      </c>
      <c r="F7" s="36">
        <f>VLOOKUP(C7,Supuestos!$A$21:$B$26,2,FALSE)</f>
        <v/>
      </c>
      <c r="G7" s="7">
        <f>E7*F7</f>
        <v/>
      </c>
      <c r="H7" s="7">
        <f>E7-G7</f>
        <v/>
      </c>
    </row>
    <row r="8">
      <c r="A8" s="8" t="inlineStr">
        <is>
          <t>S2</t>
        </is>
      </c>
      <c r="B8" s="6" t="inlineStr">
        <is>
          <t>AgenteInvestigadorComercial (Pydantic AI + Tavily)</t>
        </is>
      </c>
      <c r="C8" s="6" t="inlineStr">
        <is>
          <t>Integraciones / ETL / parsers</t>
        </is>
      </c>
      <c r="D8" s="6" t="inlineStr">
        <is>
          <t>Dev Senior Full-stack + IA</t>
        </is>
      </c>
      <c r="E8" s="7" t="n">
        <v>40</v>
      </c>
      <c r="F8" s="36">
        <f>VLOOKUP(C8,Supuestos!$A$21:$B$26,2,FALSE)</f>
        <v/>
      </c>
      <c r="G8" s="7">
        <f>E8*F8</f>
        <v/>
      </c>
      <c r="H8" s="7">
        <f>E8-G8</f>
        <v/>
      </c>
    </row>
    <row r="9">
      <c r="A9" s="8" t="inlineStr">
        <is>
          <t>S2</t>
        </is>
      </c>
      <c r="B9" s="6" t="inlineStr">
        <is>
          <t>Cuarentena staging_agente + grounding check</t>
        </is>
      </c>
      <c r="C9" s="6" t="inlineStr">
        <is>
          <t>Código de aplicación</t>
        </is>
      </c>
      <c r="D9" s="6" t="inlineStr">
        <is>
          <t>Dev Senior Full-stack + IA</t>
        </is>
      </c>
      <c r="E9" s="7" t="n">
        <v>32</v>
      </c>
      <c r="F9" s="36">
        <f>VLOOKUP(C9,Supuestos!$A$21:$B$26,2,FALSE)</f>
        <v/>
      </c>
      <c r="G9" s="7">
        <f>E9*F9</f>
        <v/>
      </c>
      <c r="H9" s="7">
        <f>E9-G9</f>
        <v/>
      </c>
    </row>
    <row r="10">
      <c r="A10" s="8" t="inlineStr">
        <is>
          <t>S2</t>
        </is>
      </c>
      <c r="B10" s="6" t="inlineStr">
        <is>
          <t>Cascada N1→N2→N3, presupuestos y kill-switch</t>
        </is>
      </c>
      <c r="C10" s="6" t="inlineStr">
        <is>
          <t>Código de aplicación</t>
        </is>
      </c>
      <c r="D10" s="6" t="inlineStr">
        <is>
          <t>Dev Senior Full-stack + IA</t>
        </is>
      </c>
      <c r="E10" s="7" t="n">
        <v>24</v>
      </c>
      <c r="F10" s="36">
        <f>VLOOKUP(C10,Supuestos!$A$21:$B$26,2,FALSE)</f>
        <v/>
      </c>
      <c r="G10" s="7">
        <f>E10*F10</f>
        <v/>
      </c>
      <c r="H10" s="7">
        <f>E10-G10</f>
        <v/>
      </c>
    </row>
    <row r="11">
      <c r="A11" s="8" t="inlineStr">
        <is>
          <t>S2</t>
        </is>
      </c>
      <c r="B11" s="6" t="inlineStr">
        <is>
          <t>P11/P12/P13 + failover Tavily→Brave (P17)</t>
        </is>
      </c>
      <c r="C11" s="6" t="inlineStr">
        <is>
          <t>Pruebas / QA / carga</t>
        </is>
      </c>
      <c r="D11" s="6" t="inlineStr">
        <is>
          <t>Data / QA (medio tiempo)</t>
        </is>
      </c>
      <c r="E11" s="7" t="n">
        <v>24</v>
      </c>
      <c r="F11" s="36">
        <f>VLOOKUP(C11,Supuestos!$A$21:$B$26,2,FALSE)</f>
        <v/>
      </c>
      <c r="G11" s="7">
        <f>E11*F11</f>
        <v/>
      </c>
      <c r="H11" s="7">
        <f>E11-G11</f>
        <v/>
      </c>
    </row>
    <row r="12">
      <c r="A12" s="8" t="inlineStr">
        <is>
          <t>S3</t>
        </is>
      </c>
      <c r="B12" s="6" t="inlineStr">
        <is>
          <t>Cola procrastinate + worker + eventos_job</t>
        </is>
      </c>
      <c r="C12" s="6" t="inlineStr">
        <is>
          <t>Código de aplicación</t>
        </is>
      </c>
      <c r="D12" s="6" t="inlineStr">
        <is>
          <t>Dev Senior Full-stack + IA</t>
        </is>
      </c>
      <c r="E12" s="7" t="n">
        <v>32</v>
      </c>
      <c r="F12" s="36">
        <f>VLOOKUP(C12,Supuestos!$A$21:$B$26,2,FALSE)</f>
        <v/>
      </c>
      <c r="G12" s="7">
        <f>E12*F12</f>
        <v/>
      </c>
      <c r="H12" s="7">
        <f>E12-G12</f>
        <v/>
      </c>
    </row>
    <row r="13">
      <c r="A13" s="8" t="inlineStr">
        <is>
          <t>S3</t>
        </is>
      </c>
      <c r="B13" s="6" t="inlineStr">
        <is>
          <t>Etapa 6 (PDF) como job asíncrono con progreso</t>
        </is>
      </c>
      <c r="C13" s="6" t="inlineStr">
        <is>
          <t>Código de aplicación</t>
        </is>
      </c>
      <c r="D13" s="6" t="inlineStr">
        <is>
          <t>Dev Senior Full-stack + IA</t>
        </is>
      </c>
      <c r="E13" s="7" t="n">
        <v>16</v>
      </c>
      <c r="F13" s="36">
        <f>VLOOKUP(C13,Supuestos!$A$21:$B$26,2,FALSE)</f>
        <v/>
      </c>
      <c r="G13" s="7">
        <f>E13*F13</f>
        <v/>
      </c>
      <c r="H13" s="7">
        <f>E13-G13</f>
        <v/>
      </c>
    </row>
    <row r="14">
      <c r="A14" s="8" t="inlineStr">
        <is>
          <t>S3</t>
        </is>
      </c>
      <c r="B14" s="6" t="inlineStr">
        <is>
          <t>Motor de tendencias DuckDB particionado por trimestre</t>
        </is>
      </c>
      <c r="C14" s="6" t="inlineStr">
        <is>
          <t>Integraciones / ETL / parsers</t>
        </is>
      </c>
      <c r="D14" s="6" t="inlineStr">
        <is>
          <t>Dev Senior Full-stack + IA</t>
        </is>
      </c>
      <c r="E14" s="7" t="n">
        <v>40</v>
      </c>
      <c r="F14" s="36">
        <f>VLOOKUP(C14,Supuestos!$A$21:$B$26,2,FALSE)</f>
        <v/>
      </c>
      <c r="G14" s="7">
        <f>E14*F14</f>
        <v/>
      </c>
      <c r="H14" s="7">
        <f>E14-G14</f>
        <v/>
      </c>
    </row>
    <row r="15">
      <c r="A15" s="8" t="inlineStr">
        <is>
          <t>S3</t>
        </is>
      </c>
      <c r="B15" s="6" t="inlineStr">
        <is>
          <t>Taxonomía CITE v0.1 + anti-corruption layer</t>
        </is>
      </c>
      <c r="C15" s="6" t="inlineStr">
        <is>
          <t>Integraciones / ETL / parsers</t>
        </is>
      </c>
      <c r="D15" s="6" t="inlineStr">
        <is>
          <t>Dev Senior Full-stack + IA</t>
        </is>
      </c>
      <c r="E15" s="7" t="n">
        <v>16</v>
      </c>
      <c r="F15" s="36">
        <f>VLOOKUP(C15,Supuestos!$A$21:$B$26,2,FALSE)</f>
        <v/>
      </c>
      <c r="G15" s="7">
        <f>E15*F15</f>
        <v/>
      </c>
      <c r="H15" s="7">
        <f>E15-G15</f>
        <v/>
      </c>
    </row>
    <row r="16">
      <c r="A16" s="8" t="inlineStr">
        <is>
          <t>S3</t>
        </is>
      </c>
      <c r="B16" s="6" t="inlineStr">
        <is>
          <t>UI de promoción manual + P10 degradada</t>
        </is>
      </c>
      <c r="C16" s="6" t="inlineStr">
        <is>
          <t>Código de aplicación</t>
        </is>
      </c>
      <c r="D16" s="6" t="inlineStr">
        <is>
          <t>Dev Senior Full-stack + IA</t>
        </is>
      </c>
      <c r="E16" s="7" t="n">
        <v>16</v>
      </c>
      <c r="F16" s="36">
        <f>VLOOKUP(C16,Supuestos!$A$21:$B$26,2,FALSE)</f>
        <v/>
      </c>
      <c r="G16" s="7">
        <f>E16*F16</f>
        <v/>
      </c>
      <c r="H16" s="7">
        <f>E16-G16</f>
        <v/>
      </c>
    </row>
    <row r="17">
      <c r="A17" s="8" t="inlineStr">
        <is>
          <t>S4</t>
        </is>
      </c>
      <c r="B17" s="6" t="inlineStr">
        <is>
          <t>eCFR completo (govinfo bulkdata) e indexación</t>
        </is>
      </c>
      <c r="C17" s="6" t="inlineStr">
        <is>
          <t>Integraciones / ETL / parsers</t>
        </is>
      </c>
      <c r="D17" s="6" t="inlineStr">
        <is>
          <t>Dev Senior Full-stack + IA</t>
        </is>
      </c>
      <c r="E17" s="7" t="n">
        <v>24</v>
      </c>
      <c r="F17" s="36">
        <f>VLOOKUP(C17,Supuestos!$A$21:$B$26,2,FALSE)</f>
        <v/>
      </c>
      <c r="G17" s="7">
        <f>E17*F17</f>
        <v/>
      </c>
      <c r="H17" s="7">
        <f>E17-G17</f>
        <v/>
      </c>
    </row>
    <row r="18">
      <c r="A18" s="8" t="inlineStr">
        <is>
          <t>S4</t>
        </is>
      </c>
      <c r="B18" s="6" t="inlineStr">
        <is>
          <t>EFSA / Anexo II de la UE + Codex</t>
        </is>
      </c>
      <c r="C18" s="6" t="inlineStr">
        <is>
          <t>Integraciones / ETL / parsers</t>
        </is>
      </c>
      <c r="D18" s="6" t="inlineStr">
        <is>
          <t>Dev Senior Full-stack + IA</t>
        </is>
      </c>
      <c r="E18" s="7" t="n">
        <v>32</v>
      </c>
      <c r="F18" s="36">
        <f>VLOOKUP(C18,Supuestos!$A$21:$B$26,2,FALSE)</f>
        <v/>
      </c>
      <c r="G18" s="7">
        <f>E18*F18</f>
        <v/>
      </c>
      <c r="H18" s="7">
        <f>E18-G18</f>
        <v/>
      </c>
    </row>
    <row r="19">
      <c r="A19" s="8" t="inlineStr">
        <is>
          <t>S4</t>
        </is>
      </c>
      <c r="B19" s="6" t="inlineStr">
        <is>
          <t>INACAL + OCR de directivas DIGESA</t>
        </is>
      </c>
      <c r="C19" s="6" t="inlineStr">
        <is>
          <t>Integraciones / ETL / parsers</t>
        </is>
      </c>
      <c r="D19" s="6" t="inlineStr">
        <is>
          <t>Dev Senior Full-stack + IA</t>
        </is>
      </c>
      <c r="E19" s="7" t="n">
        <v>24</v>
      </c>
      <c r="F19" s="36">
        <f>VLOOKUP(C19,Supuestos!$A$21:$B$26,2,FALSE)</f>
        <v/>
      </c>
      <c r="G19" s="7">
        <f>E19*F19</f>
        <v/>
      </c>
      <c r="H19" s="7">
        <f>E19-G19</f>
        <v/>
      </c>
    </row>
    <row r="20">
      <c r="A20" s="8" t="inlineStr">
        <is>
          <t>S4</t>
        </is>
      </c>
      <c r="B20" s="6" t="inlineStr">
        <is>
          <t>Curación manual de Codex (celdas GSFA)</t>
        </is>
      </c>
      <c r="C20" s="6" t="inlineStr">
        <is>
          <t>Curación manual de datos</t>
        </is>
      </c>
      <c r="D20" s="6" t="inlineStr">
        <is>
          <t>Especialista regulatorio</t>
        </is>
      </c>
      <c r="E20" s="7" t="n">
        <v>24</v>
      </c>
      <c r="F20" s="36">
        <f>VLOOKUP(C20,Supuestos!$A$21:$B$26,2,FALSE)</f>
        <v/>
      </c>
      <c r="G20" s="7">
        <f>E20*F20</f>
        <v/>
      </c>
      <c r="H20" s="7">
        <f>E20-G20</f>
        <v/>
      </c>
    </row>
    <row r="21">
      <c r="A21" s="8" t="inlineStr">
        <is>
          <t>S4</t>
        </is>
      </c>
      <c r="B21" s="6" t="inlineStr">
        <is>
          <t>regulacion_cita + buscar_regulacion() en etapa 5</t>
        </is>
      </c>
      <c r="C21" s="6" t="inlineStr">
        <is>
          <t>Código de aplicación</t>
        </is>
      </c>
      <c r="D21" s="6" t="inlineStr">
        <is>
          <t>Dev Senior Full-stack + IA</t>
        </is>
      </c>
      <c r="E21" s="7" t="n">
        <v>24</v>
      </c>
      <c r="F21" s="36">
        <f>VLOOKUP(C21,Supuestos!$A$21:$B$26,2,FALSE)</f>
        <v/>
      </c>
      <c r="G21" s="7">
        <f>E21*F21</f>
        <v/>
      </c>
      <c r="H21" s="7">
        <f>E21-G21</f>
        <v/>
      </c>
    </row>
    <row r="22">
      <c r="A22" s="8" t="inlineStr">
        <is>
          <t>S4</t>
        </is>
      </c>
      <c r="B22" s="6" t="inlineStr">
        <is>
          <t>Job corpus_ingest semanal + P08/P18</t>
        </is>
      </c>
      <c r="C22" s="6" t="inlineStr">
        <is>
          <t>Pruebas / QA / carga</t>
        </is>
      </c>
      <c r="D22" s="6" t="inlineStr">
        <is>
          <t>Data / QA (medio tiempo)</t>
        </is>
      </c>
      <c r="E22" s="7" t="n">
        <v>16</v>
      </c>
      <c r="F22" s="36">
        <f>VLOOKUP(C22,Supuestos!$A$21:$B$26,2,FALSE)</f>
        <v/>
      </c>
      <c r="G22" s="7">
        <f>E22*F22</f>
        <v/>
      </c>
      <c r="H22" s="7">
        <f>E22-G22</f>
        <v/>
      </c>
    </row>
    <row r="23">
      <c r="A23" s="8" t="inlineStr">
        <is>
          <t>S5</t>
        </is>
      </c>
      <c r="B23" s="6" t="inlineStr">
        <is>
          <t>ScraplingTransport (30-50 tiendas dinámicas)</t>
        </is>
      </c>
      <c r="C23" s="6" t="inlineStr">
        <is>
          <t>Integraciones / ETL / parsers</t>
        </is>
      </c>
      <c r="D23" s="6" t="inlineStr">
        <is>
          <t>Dev Senior Full-stack + IA</t>
        </is>
      </c>
      <c r="E23" s="7" t="n">
        <v>40</v>
      </c>
      <c r="F23" s="36">
        <f>VLOOKUP(C23,Supuestos!$A$21:$B$26,2,FALSE)</f>
        <v/>
      </c>
      <c r="G23" s="7">
        <f>E23*F23</f>
        <v/>
      </c>
      <c r="H23" s="7">
        <f>E23-G23</f>
        <v/>
      </c>
    </row>
    <row r="24">
      <c r="A24" s="8" t="inlineStr">
        <is>
          <t>S5</t>
        </is>
      </c>
      <c r="B24" s="6" t="inlineStr">
        <is>
          <t>Bright Data Scraper API (5 tiendas anti-bot)</t>
        </is>
      </c>
      <c r="C24" s="6" t="inlineStr">
        <is>
          <t>Integraciones / ETL / parsers</t>
        </is>
      </c>
      <c r="D24" s="6" t="inlineStr">
        <is>
          <t>Dev Senior Full-stack + IA</t>
        </is>
      </c>
      <c r="E24" s="7" t="n">
        <v>24</v>
      </c>
      <c r="F24" s="36">
        <f>VLOOKUP(C24,Supuestos!$A$21:$B$26,2,FALSE)</f>
        <v/>
      </c>
      <c r="G24" s="7">
        <f>E24*F24</f>
        <v/>
      </c>
      <c r="H24" s="7">
        <f>E24-G24</f>
        <v/>
      </c>
    </row>
    <row r="25">
      <c r="A25" s="8" t="inlineStr">
        <is>
          <t>S5</t>
        </is>
      </c>
      <c r="B25" s="6" t="inlineStr">
        <is>
          <t>Dedup por EAN, sweep_attempts y cobertura declarada</t>
        </is>
      </c>
      <c r="C25" s="6" t="inlineStr">
        <is>
          <t>Código de aplicación</t>
        </is>
      </c>
      <c r="D25" s="6" t="inlineStr">
        <is>
          <t>Dev Senior Full-stack + IA</t>
        </is>
      </c>
      <c r="E25" s="7" t="n">
        <v>24</v>
      </c>
      <c r="F25" s="36">
        <f>VLOOKUP(C25,Supuestos!$A$21:$B$26,2,FALSE)</f>
        <v/>
      </c>
      <c r="G25" s="7">
        <f>E25*F25</f>
        <v/>
      </c>
      <c r="H25" s="7">
        <f>E25-G25</f>
        <v/>
      </c>
    </row>
    <row r="26">
      <c r="A26" s="8" t="inlineStr">
        <is>
          <t>S5</t>
        </is>
      </c>
      <c r="B26" s="6" t="inlineStr">
        <is>
          <t>Canario diario + P14/P19</t>
        </is>
      </c>
      <c r="C26" s="6" t="inlineStr">
        <is>
          <t>Pruebas / QA / carga</t>
        </is>
      </c>
      <c r="D26" s="6" t="inlineStr">
        <is>
          <t>Data / QA (medio tiempo)</t>
        </is>
      </c>
      <c r="E26" s="7" t="n">
        <v>24</v>
      </c>
      <c r="F26" s="36">
        <f>VLOOKUP(C26,Supuestos!$A$21:$B$26,2,FALSE)</f>
        <v/>
      </c>
      <c r="G26" s="7">
        <f>E26*F26</f>
        <v/>
      </c>
      <c r="H26" s="7">
        <f>E26-G26</f>
        <v/>
      </c>
    </row>
    <row r="27">
      <c r="A27" s="8" t="inlineStr">
        <is>
          <t>S6</t>
        </is>
      </c>
      <c r="B27" s="6" t="inlineStr">
        <is>
          <t>openFDA /food/enforcement + RASFF</t>
        </is>
      </c>
      <c r="C27" s="6" t="inlineStr">
        <is>
          <t>Integraciones / ETL / parsers</t>
        </is>
      </c>
      <c r="D27" s="6" t="inlineStr">
        <is>
          <t>Dev Senior Full-stack + IA</t>
        </is>
      </c>
      <c r="E27" s="7" t="n">
        <v>32</v>
      </c>
      <c r="F27" s="36">
        <f>VLOOKUP(C27,Supuestos!$A$21:$B$26,2,FALSE)</f>
        <v/>
      </c>
      <c r="G27" s="7">
        <f>E27*F27</f>
        <v/>
      </c>
      <c r="H27" s="7">
        <f>E27-G27</f>
        <v/>
      </c>
    </row>
    <row r="28">
      <c r="A28" s="8" t="inlineStr">
        <is>
          <t>S6</t>
        </is>
      </c>
      <c r="B28" s="6" t="inlineStr">
        <is>
          <t>Mapeo fuzzy de ingredientes y scoring de riesgo</t>
        </is>
      </c>
      <c r="C28" s="6" t="inlineStr">
        <is>
          <t>Código de aplicación</t>
        </is>
      </c>
      <c r="D28" s="6" t="inlineStr">
        <is>
          <t>Dev Senior Full-stack + IA</t>
        </is>
      </c>
      <c r="E28" s="7" t="n">
        <v>24</v>
      </c>
      <c r="F28" s="36">
        <f>VLOOKUP(C28,Supuestos!$A$21:$B$26,2,FALSE)</f>
        <v/>
      </c>
      <c r="G28" s="7">
        <f>E28*F28</f>
        <v/>
      </c>
      <c r="H28" s="7">
        <f>E28-G28</f>
        <v/>
      </c>
    </row>
    <row r="29">
      <c r="A29" s="8" t="inlineStr">
        <is>
          <t>S6</t>
        </is>
      </c>
      <c r="B29" s="6" t="inlineStr">
        <is>
          <t>Integración en etapa 5 + dashboard de alertas</t>
        </is>
      </c>
      <c r="C29" s="6" t="inlineStr">
        <is>
          <t>Código de aplicación</t>
        </is>
      </c>
      <c r="D29" s="6" t="inlineStr">
        <is>
          <t>Dev Senior Full-stack + IA</t>
        </is>
      </c>
      <c r="E29" s="7" t="n">
        <v>24</v>
      </c>
      <c r="F29" s="36">
        <f>VLOOKUP(C29,Supuestos!$A$21:$B$26,2,FALSE)</f>
        <v/>
      </c>
      <c r="G29" s="7">
        <f>E29*F29</f>
        <v/>
      </c>
      <c r="H29" s="7">
        <f>E29-G29</f>
        <v/>
      </c>
    </row>
    <row r="30">
      <c r="A30" s="8" t="inlineStr">
        <is>
          <t>S6</t>
        </is>
      </c>
      <c r="B30" s="6" t="inlineStr">
        <is>
          <t>Job alert_ingest nocturno + P20</t>
        </is>
      </c>
      <c r="C30" s="6" t="inlineStr">
        <is>
          <t>Pruebas / QA / carga</t>
        </is>
      </c>
      <c r="D30" s="6" t="inlineStr">
        <is>
          <t>Data / QA (medio tiempo)</t>
        </is>
      </c>
      <c r="E30" s="7" t="n">
        <v>16</v>
      </c>
      <c r="F30" s="36">
        <f>VLOOKUP(C30,Supuestos!$A$21:$B$26,2,FALSE)</f>
        <v/>
      </c>
      <c r="G30" s="7">
        <f>E30*F30</f>
        <v/>
      </c>
      <c r="H30" s="7">
        <f>E30-G30</f>
        <v/>
      </c>
    </row>
    <row r="31">
      <c r="A31" s="8" t="inlineStr">
        <is>
          <t>S7</t>
        </is>
      </c>
      <c r="B31" s="6" t="inlineStr">
        <is>
          <t>Watermark de muestreo, promotion_rules y validador</t>
        </is>
      </c>
      <c r="C31" s="6" t="inlineStr">
        <is>
          <t>Código de aplicación</t>
        </is>
      </c>
      <c r="D31" s="6" t="inlineStr">
        <is>
          <t>Dev Senior Full-stack + IA</t>
        </is>
      </c>
      <c r="E31" s="7" t="n">
        <v>32</v>
      </c>
      <c r="F31" s="36">
        <f>VLOOKUP(C31,Supuestos!$A$21:$B$26,2,FALSE)</f>
        <v/>
      </c>
      <c r="G31" s="7">
        <f>E31*F31</f>
        <v/>
      </c>
      <c r="H31" s="7">
        <f>E31-G31</f>
        <v/>
      </c>
    </row>
    <row r="32">
      <c r="A32" s="8" t="inlineStr">
        <is>
          <t>S7</t>
        </is>
      </c>
      <c r="B32" s="6" t="inlineStr">
        <is>
          <t>promotion_log, job nocturno y UI del 20 % manual</t>
        </is>
      </c>
      <c r="C32" s="6" t="inlineStr">
        <is>
          <t>Código de aplicación</t>
        </is>
      </c>
      <c r="D32" s="6" t="inlineStr">
        <is>
          <t>Dev Senior Full-stack + IA</t>
        </is>
      </c>
      <c r="E32" s="7" t="n">
        <v>32</v>
      </c>
      <c r="F32" s="36">
        <f>VLOOKUP(C32,Supuestos!$A$21:$B$26,2,FALSE)</f>
        <v/>
      </c>
      <c r="G32" s="7">
        <f>E32*F32</f>
        <v/>
      </c>
      <c r="H32" s="7">
        <f>E32-G32</f>
        <v/>
      </c>
    </row>
    <row r="33">
      <c r="A33" s="8" t="inlineStr">
        <is>
          <t>S7</t>
        </is>
      </c>
      <c r="B33" s="6" t="inlineStr">
        <is>
          <t>Estadísticas y P15 bajo promoción automática</t>
        </is>
      </c>
      <c r="C33" s="6" t="inlineStr">
        <is>
          <t>Pruebas / QA / carga</t>
        </is>
      </c>
      <c r="D33" s="6" t="inlineStr">
        <is>
          <t>Data / QA (medio tiempo)</t>
        </is>
      </c>
      <c r="E33" s="7" t="n">
        <v>24</v>
      </c>
      <c r="F33" s="36">
        <f>VLOOKUP(C33,Supuestos!$A$21:$B$26,2,FALSE)</f>
        <v/>
      </c>
      <c r="G33" s="7">
        <f>E33*F33</f>
        <v/>
      </c>
      <c r="H33" s="7">
        <f>E33-G33</f>
        <v/>
      </c>
    </row>
    <row r="34">
      <c r="A34" s="8" t="inlineStr">
        <is>
          <t>S8</t>
        </is>
      </c>
      <c r="B34" s="6" t="inlineStr">
        <is>
          <t>Dashboard de jobs con progreso y logs en vivo</t>
        </is>
      </c>
      <c r="C34" s="6" t="inlineStr">
        <is>
          <t>Código de aplicación</t>
        </is>
      </c>
      <c r="D34" s="6" t="inlineStr">
        <is>
          <t>Dev Senior Full-stack + IA</t>
        </is>
      </c>
      <c r="E34" s="7" t="n">
        <v>32</v>
      </c>
      <c r="F34" s="36">
        <f>VLOOKUP(C34,Supuestos!$A$21:$B$26,2,FALSE)</f>
        <v/>
      </c>
      <c r="G34" s="7">
        <f>E34*F34</f>
        <v/>
      </c>
      <c r="H34" s="7">
        <f>E34-G34</f>
        <v/>
      </c>
    </row>
    <row r="35">
      <c r="A35" s="8" t="inlineStr">
        <is>
          <t>S8</t>
        </is>
      </c>
      <c r="B35" s="6" t="inlineStr">
        <is>
          <t>Cost-meter por etapa/tenant con gráficos</t>
        </is>
      </c>
      <c r="C35" s="6" t="inlineStr">
        <is>
          <t>Código de aplicación</t>
        </is>
      </c>
      <c r="D35" s="6" t="inlineStr">
        <is>
          <t>Dev Senior Full-stack + IA</t>
        </is>
      </c>
      <c r="E35" s="7" t="n">
        <v>24</v>
      </c>
      <c r="F35" s="36">
        <f>VLOOKUP(C35,Supuestos!$A$21:$B$26,2,FALSE)</f>
        <v/>
      </c>
      <c r="G35" s="7">
        <f>E35*F35</f>
        <v/>
      </c>
      <c r="H35" s="7">
        <f>E35-G35</f>
        <v/>
      </c>
    </row>
    <row r="36">
      <c r="A36" s="8" t="inlineStr">
        <is>
          <t>S8</t>
        </is>
      </c>
      <c r="B36" s="6" t="inlineStr">
        <is>
          <t>Audit trail, kill-switch UI y exportación CSV/PDF</t>
        </is>
      </c>
      <c r="C36" s="6" t="inlineStr">
        <is>
          <t>Código de aplicación</t>
        </is>
      </c>
      <c r="D36" s="6" t="inlineStr">
        <is>
          <t>Dev Senior Full-stack + IA</t>
        </is>
      </c>
      <c r="E36" s="7" t="n">
        <v>24</v>
      </c>
      <c r="F36" s="36">
        <f>VLOOKUP(C36,Supuestos!$A$21:$B$26,2,FALSE)</f>
        <v/>
      </c>
      <c r="G36" s="7">
        <f>E36*F36</f>
        <v/>
      </c>
      <c r="H36" s="7">
        <f>E36-G36</f>
        <v/>
      </c>
    </row>
    <row r="37">
      <c r="A37" s="8" t="inlineStr">
        <is>
          <t>S8</t>
        </is>
      </c>
      <c r="B37" s="6" t="inlineStr">
        <is>
          <t>System Health (SLO) + planes y entitlements</t>
        </is>
      </c>
      <c r="C37" s="6" t="inlineStr">
        <is>
          <t>Código de aplicación</t>
        </is>
      </c>
      <c r="D37" s="6" t="inlineStr">
        <is>
          <t>Dev Senior Full-stack + IA</t>
        </is>
      </c>
      <c r="E37" s="7" t="n">
        <v>24</v>
      </c>
      <c r="F37" s="36">
        <f>VLOOKUP(C37,Supuestos!$A$21:$B$26,2,FALSE)</f>
        <v/>
      </c>
      <c r="G37" s="7">
        <f>E37*F37</f>
        <v/>
      </c>
      <c r="H37" s="7">
        <f>E37-G37</f>
        <v/>
      </c>
    </row>
    <row r="38">
      <c r="A38" s="8" t="inlineStr">
        <is>
          <t>S9</t>
        </is>
      </c>
      <c r="B38" s="6" t="inlineStr">
        <is>
          <t>Golden set de 30 + validación de esquema en CI</t>
        </is>
      </c>
      <c r="C38" s="6" t="inlineStr">
        <is>
          <t>Pruebas / QA / carga</t>
        </is>
      </c>
      <c r="D38" s="6" t="inlineStr">
        <is>
          <t>Data / QA (medio tiempo)</t>
        </is>
      </c>
      <c r="E38" s="7" t="n">
        <v>32</v>
      </c>
      <c r="F38" s="36">
        <f>VLOOKUP(C38,Supuestos!$A$21:$B$26,2,FALSE)</f>
        <v/>
      </c>
      <c r="G38" s="7">
        <f>E38*F38</f>
        <v/>
      </c>
      <c r="H38" s="7">
        <f>E38-G38</f>
        <v/>
      </c>
    </row>
    <row r="39">
      <c r="A39" s="8" t="inlineStr">
        <is>
          <t>S9</t>
        </is>
      </c>
      <c r="B39" s="6" t="inlineStr">
        <is>
          <t>Load test: baseline 50 rps, spike 500 rps, 24 h</t>
        </is>
      </c>
      <c r="C39" s="6" t="inlineStr">
        <is>
          <t>Pruebas / QA / carga</t>
        </is>
      </c>
      <c r="D39" s="6" t="inlineStr">
        <is>
          <t>Data / QA (medio tiempo)</t>
        </is>
      </c>
      <c r="E39" s="7" t="n">
        <v>32</v>
      </c>
      <c r="F39" s="36">
        <f>VLOOKUP(C39,Supuestos!$A$21:$B$26,2,FALSE)</f>
        <v/>
      </c>
      <c r="G39" s="7">
        <f>E39*F39</f>
        <v/>
      </c>
      <c r="H39" s="7">
        <f>E39-G39</f>
        <v/>
      </c>
    </row>
    <row r="40">
      <c r="A40" s="8" t="inlineStr">
        <is>
          <t>S9</t>
        </is>
      </c>
      <c r="B40" s="6" t="inlineStr">
        <is>
          <t>Failover bajo carga y curva de degradación</t>
        </is>
      </c>
      <c r="C40" s="6" t="inlineStr">
        <is>
          <t>Pruebas / QA / carga</t>
        </is>
      </c>
      <c r="D40" s="6" t="inlineStr">
        <is>
          <t>Data / QA (medio tiempo)</t>
        </is>
      </c>
      <c r="E40" s="7" t="n">
        <v>16</v>
      </c>
      <c r="F40" s="36">
        <f>VLOOKUP(C40,Supuestos!$A$21:$B$26,2,FALSE)</f>
        <v/>
      </c>
      <c r="G40" s="7">
        <f>E40*F40</f>
        <v/>
      </c>
      <c r="H40" s="7">
        <f>E40-G40</f>
        <v/>
      </c>
    </row>
    <row r="41">
      <c r="A41" s="8" t="inlineStr">
        <is>
          <t>S9</t>
        </is>
      </c>
      <c r="B41" s="6" t="inlineStr">
        <is>
          <t>Pipeline CI/CD automático</t>
        </is>
      </c>
      <c r="C41" s="6" t="inlineStr">
        <is>
          <t>Código de aplicación</t>
        </is>
      </c>
      <c r="D41" s="6" t="inlineStr">
        <is>
          <t>Dev Senior Full-stack + IA</t>
        </is>
      </c>
      <c r="E41" s="7" t="n">
        <v>24</v>
      </c>
      <c r="F41" s="36">
        <f>VLOOKUP(C41,Supuestos!$A$21:$B$26,2,FALSE)</f>
        <v/>
      </c>
      <c r="G41" s="7">
        <f>E41*F41</f>
        <v/>
      </c>
      <c r="H41" s="7">
        <f>E41-G41</f>
        <v/>
      </c>
    </row>
    <row r="42">
      <c r="A42" s="8" t="inlineStr">
        <is>
          <t>S10</t>
        </is>
      </c>
      <c r="B42" s="6" t="inlineStr">
        <is>
          <t>Validación ModelArts + mistral-embed vs. bge-m3</t>
        </is>
      </c>
      <c r="C42" s="6" t="inlineStr">
        <is>
          <t>Integraciones / ETL / parsers</t>
        </is>
      </c>
      <c r="D42" s="6" t="inlineStr">
        <is>
          <t>Dev Senior Full-stack + IA</t>
        </is>
      </c>
      <c r="E42" s="7" t="n">
        <v>24</v>
      </c>
      <c r="F42" s="36">
        <f>VLOOKUP(C42,Supuestos!$A$21:$B$26,2,FALSE)</f>
        <v/>
      </c>
      <c r="G42" s="7">
        <f>E42*F42</f>
        <v/>
      </c>
      <c r="H42" s="7">
        <f>E42-G42</f>
        <v/>
      </c>
    </row>
    <row r="43">
      <c r="A43" s="8" t="inlineStr">
        <is>
          <t>S10</t>
        </is>
      </c>
      <c r="B43" s="6" t="inlineStr">
        <is>
          <t>Cache warming, TTL adaptativo e índices Postgres</t>
        </is>
      </c>
      <c r="C43" s="6" t="inlineStr">
        <is>
          <t>Código de aplicación</t>
        </is>
      </c>
      <c r="D43" s="6" t="inlineStr">
        <is>
          <t>Dev Senior Full-stack + IA</t>
        </is>
      </c>
      <c r="E43" s="7" t="n">
        <v>24</v>
      </c>
      <c r="F43" s="36">
        <f>VLOOKUP(C43,Supuestos!$A$21:$B$26,2,FALSE)</f>
        <v/>
      </c>
      <c r="G43" s="7">
        <f>E43*F43</f>
        <v/>
      </c>
      <c r="H43" s="7">
        <f>E43-G43</f>
        <v/>
      </c>
    </row>
    <row r="44">
      <c r="A44" s="8" t="inlineStr">
        <is>
          <t>S10</t>
        </is>
      </c>
      <c r="B44" s="6" t="inlineStr">
        <is>
          <t>Cost breakdown y dashboards de latencia</t>
        </is>
      </c>
      <c r="C44" s="6" t="inlineStr">
        <is>
          <t>Integraciones / ETL / parsers</t>
        </is>
      </c>
      <c r="D44" s="6" t="inlineStr">
        <is>
          <t>Dev Senior Full-stack + IA</t>
        </is>
      </c>
      <c r="E44" s="7" t="n">
        <v>16</v>
      </c>
      <c r="F44" s="36">
        <f>VLOOKUP(C44,Supuestos!$A$21:$B$26,2,FALSE)</f>
        <v/>
      </c>
      <c r="G44" s="7">
        <f>E44*F44</f>
        <v/>
      </c>
      <c r="H44" s="7">
        <f>E44-G44</f>
        <v/>
      </c>
    </row>
    <row r="45">
      <c r="A45" s="8" t="inlineStr">
        <is>
          <t>S11</t>
        </is>
      </c>
      <c r="B45" s="6" t="inlineStr">
        <is>
          <t>Runbook de operación y plan de rollback</t>
        </is>
      </c>
      <c r="C45" s="6" t="inlineStr">
        <is>
          <t>Documentación / capacitación</t>
        </is>
      </c>
      <c r="D45" s="6" t="inlineStr">
        <is>
          <t>Dev Senior Full-stack + IA</t>
        </is>
      </c>
      <c r="E45" s="7" t="n">
        <v>24</v>
      </c>
      <c r="F45" s="36">
        <f>VLOOKUP(C45,Supuestos!$A$21:$B$26,2,FALSE)</f>
        <v/>
      </c>
      <c r="G45" s="7">
        <f>E45*F45</f>
        <v/>
      </c>
      <c r="H45" s="7">
        <f>E45-G45</f>
        <v/>
      </c>
    </row>
    <row r="46">
      <c r="A46" s="8" t="inlineStr">
        <is>
          <t>S11</t>
        </is>
      </c>
      <c r="B46" s="6" t="inlineStr">
        <is>
          <t>Capacitación del CITE (4-6 h) y material</t>
        </is>
      </c>
      <c r="C46" s="6" t="inlineStr">
        <is>
          <t>Documentación / capacitación</t>
        </is>
      </c>
      <c r="D46" s="6" t="inlineStr">
        <is>
          <t>Dev Senior Full-stack + IA</t>
        </is>
      </c>
      <c r="E46" s="7" t="n">
        <v>24</v>
      </c>
      <c r="F46" s="36">
        <f>VLOOKUP(C46,Supuestos!$A$21:$B$26,2,FALSE)</f>
        <v/>
      </c>
      <c r="G46" s="7">
        <f>E46*F46</f>
        <v/>
      </c>
      <c r="H46" s="7">
        <f>E46-G46</f>
        <v/>
      </c>
    </row>
    <row r="47">
      <c r="A47" s="8" t="inlineStr">
        <is>
          <t>S11</t>
        </is>
      </c>
      <c r="B47" s="6" t="inlineStr">
        <is>
          <t>Canary v2+v3, ramp-up 10→50→100 % y monitoreo</t>
        </is>
      </c>
      <c r="C47" s="6" t="inlineStr">
        <is>
          <t>Infraestructura / DevOps</t>
        </is>
      </c>
      <c r="D47" s="6" t="inlineStr">
        <is>
          <t>Dev Senior Full-stack + IA</t>
        </is>
      </c>
      <c r="E47" s="7" t="n">
        <v>32</v>
      </c>
      <c r="F47" s="36">
        <f>VLOOKUP(C47,Supuestos!$A$21:$B$26,2,FALSE)</f>
        <v/>
      </c>
      <c r="G47" s="7">
        <f>E47*F47</f>
        <v/>
      </c>
      <c r="H47" s="7">
        <f>E47-G47</f>
        <v/>
      </c>
    </row>
    <row r="48">
      <c r="A48" s="8" t="inlineStr">
        <is>
          <t>S11</t>
        </is>
      </c>
      <c r="B48" s="6" t="inlineStr">
        <is>
          <t>Validación de las 24 h críticas post go-live</t>
        </is>
      </c>
      <c r="C48" s="6" t="inlineStr">
        <is>
          <t>Pruebas / QA / carga</t>
        </is>
      </c>
      <c r="D48" s="6" t="inlineStr">
        <is>
          <t>Data / QA (medio tiempo)</t>
        </is>
      </c>
      <c r="E48" s="7" t="n">
        <v>16</v>
      </c>
      <c r="F48" s="36">
        <f>VLOOKUP(C48,Supuestos!$A$21:$B$26,2,FALSE)</f>
        <v/>
      </c>
      <c r="G48" s="7">
        <f>E48*F48</f>
        <v/>
      </c>
      <c r="H48" s="7">
        <f>E48-G48</f>
        <v/>
      </c>
    </row>
    <row r="49">
      <c r="A49" s="37" t="inlineStr">
        <is>
          <t>ADI</t>
        </is>
      </c>
      <c r="B49" s="38" t="inlineStr">
        <is>
          <t>T1 · Agente regulatorio eCFR (búsqueda viva + corpus)</t>
        </is>
      </c>
      <c r="C49" s="38" t="inlineStr">
        <is>
          <t>Integraciones / ETL / parsers</t>
        </is>
      </c>
      <c r="D49" s="38" t="inlineStr">
        <is>
          <t>Dev Senior Full-stack + IA</t>
        </is>
      </c>
      <c r="E49" s="39" t="n">
        <v>40</v>
      </c>
      <c r="F49" s="40">
        <f>VLOOKUP(C49,Supuestos!$A$21:$B$26,2,FALSE)</f>
        <v/>
      </c>
      <c r="G49" s="39">
        <f>E49*F49</f>
        <v/>
      </c>
      <c r="H49" s="39">
        <f>E49-G49</f>
        <v/>
      </c>
    </row>
    <row r="50">
      <c r="A50" s="37" t="inlineStr">
        <is>
          <t>ADI</t>
        </is>
      </c>
      <c r="B50" s="38" t="inlineStr">
        <is>
          <t>T2 · Ingesta única del Anexo II de la UE</t>
        </is>
      </c>
      <c r="C50" s="38" t="inlineStr">
        <is>
          <t>Integraciones / ETL / parsers</t>
        </is>
      </c>
      <c r="D50" s="38" t="inlineStr">
        <is>
          <t>Dev Senior Full-stack + IA</t>
        </is>
      </c>
      <c r="E50" s="39" t="n">
        <v>32</v>
      </c>
      <c r="F50" s="40">
        <f>VLOOKUP(C50,Supuestos!$A$21:$B$26,2,FALSE)</f>
        <v/>
      </c>
      <c r="G50" s="39">
        <f>E50*F50</f>
        <v/>
      </c>
      <c r="H50" s="39">
        <f>E50-G50</f>
        <v/>
      </c>
    </row>
    <row r="51">
      <c r="A51" s="37" t="inlineStr">
        <is>
          <t>ADI</t>
        </is>
      </c>
      <c r="B51" s="38" t="inlineStr">
        <is>
          <t>T3 · Codex: curación de las celdas GSFA</t>
        </is>
      </c>
      <c r="C51" s="38" t="inlineStr">
        <is>
          <t>Curación manual de datos</t>
        </is>
      </c>
      <c r="D51" s="38" t="inlineStr">
        <is>
          <t>Especialista regulatorio</t>
        </is>
      </c>
      <c r="E51" s="39" t="n">
        <v>24</v>
      </c>
      <c r="F51" s="40">
        <f>VLOOKUP(C51,Supuestos!$A$21:$B$26,2,FALSE)</f>
        <v/>
      </c>
      <c r="G51" s="39">
        <f>E51*F51</f>
        <v/>
      </c>
      <c r="H51" s="39">
        <f>E51-G51</f>
        <v/>
      </c>
    </row>
    <row r="52">
      <c r="A52" s="37" t="inlineStr">
        <is>
          <t>ADI</t>
        </is>
      </c>
      <c r="B52" s="38" t="inlineStr">
        <is>
          <t>T4 · Motor, caché y categoría de alimento</t>
        </is>
      </c>
      <c r="C52" s="38" t="inlineStr">
        <is>
          <t>Código de aplicación</t>
        </is>
      </c>
      <c r="D52" s="38" t="inlineStr">
        <is>
          <t>Dev Senior Full-stack + IA</t>
        </is>
      </c>
      <c r="E52" s="39" t="n">
        <v>40</v>
      </c>
      <c r="F52" s="40">
        <f>VLOOKUP(C52,Supuestos!$A$21:$B$26,2,FALSE)</f>
        <v/>
      </c>
      <c r="G52" s="39">
        <f>E52*F52</f>
        <v/>
      </c>
      <c r="H52" s="39">
        <f>E52-G52</f>
        <v/>
      </c>
    </row>
    <row r="53">
      <c r="A53" s="37" t="inlineStr">
        <is>
          <t>ADI</t>
        </is>
      </c>
      <c r="B53" s="38" t="inlineStr">
        <is>
          <t>T5 · API de análisis por producto</t>
        </is>
      </c>
      <c r="C53" s="38" t="inlineStr">
        <is>
          <t>Código de aplicación</t>
        </is>
      </c>
      <c r="D53" s="38" t="inlineStr">
        <is>
          <t>Dev Senior Full-stack + IA</t>
        </is>
      </c>
      <c r="E53" s="39" t="n">
        <v>24</v>
      </c>
      <c r="F53" s="40">
        <f>VLOOKUP(C53,Supuestos!$A$21:$B$26,2,FALSE)</f>
        <v/>
      </c>
      <c r="G53" s="39">
        <f>E53*F53</f>
        <v/>
      </c>
      <c r="H53" s="39">
        <f>E53-G53</f>
        <v/>
      </c>
    </row>
    <row r="54">
      <c r="A54" s="37" t="inlineStr">
        <is>
          <t>ADI</t>
        </is>
      </c>
      <c r="B54" s="38" t="inlineStr">
        <is>
          <t>T6 · Pantalla de análisis por mercado</t>
        </is>
      </c>
      <c r="C54" s="38" t="inlineStr">
        <is>
          <t>Código de aplicación</t>
        </is>
      </c>
      <c r="D54" s="38" t="inlineStr">
        <is>
          <t>Dev Senior Full-stack + IA</t>
        </is>
      </c>
      <c r="E54" s="39" t="n">
        <v>32</v>
      </c>
      <c r="F54" s="40">
        <f>VLOOKUP(C54,Supuestos!$A$21:$B$26,2,FALSE)</f>
        <v/>
      </c>
      <c r="G54" s="39">
        <f>E54*F54</f>
        <v/>
      </c>
      <c r="H54" s="39">
        <f>E54-G54</f>
        <v/>
      </c>
    </row>
    <row r="55">
      <c r="A55" s="37" t="inlineStr">
        <is>
          <t>ADI</t>
        </is>
      </c>
      <c r="B55" s="38" t="inlineStr">
        <is>
          <t>T7 · Validador de honestidad y auditoría</t>
        </is>
      </c>
      <c r="C55" s="38" t="inlineStr">
        <is>
          <t>Pruebas / QA / carga</t>
        </is>
      </c>
      <c r="D55" s="38" t="inlineStr">
        <is>
          <t>Data / QA (medio tiempo)</t>
        </is>
      </c>
      <c r="E55" s="39" t="n">
        <v>24</v>
      </c>
      <c r="F55" s="40">
        <f>VLOOKUP(C55,Supuestos!$A$21:$B$26,2,FALSE)</f>
        <v/>
      </c>
      <c r="G55" s="39">
        <f>E55*F55</f>
        <v/>
      </c>
      <c r="H55" s="39">
        <f>E55-G55</f>
        <v/>
      </c>
    </row>
    <row r="56">
      <c r="A56" s="16" t="inlineStr">
        <is>
          <t>SUBTOTAL TÉCNICO</t>
        </is>
      </c>
      <c r="B56" s="38" t="inlineStr"/>
      <c r="C56" s="38" t="inlineStr"/>
      <c r="D56" s="38" t="inlineStr"/>
      <c r="E56" s="41">
        <f>SUM(E5:E55)</f>
        <v/>
      </c>
      <c r="G56" s="41">
        <f>SUM(G5:G55)</f>
        <v/>
      </c>
      <c r="H56" s="41">
        <f>SUM(H5:H55)</f>
        <v/>
      </c>
    </row>
    <row r="57">
      <c r="A57" s="38" t="inlineStr">
        <is>
          <t>Gestión / PM</t>
        </is>
      </c>
      <c r="B57" s="38" t="inlineStr">
        <is>
          <t>Coordinación, hitos y reporte al CITE</t>
        </is>
      </c>
      <c r="C57" s="38" t="inlineStr">
        <is>
          <t>—</t>
        </is>
      </c>
      <c r="D57" s="38" t="inlineStr">
        <is>
          <t>Dirección técnica / PM</t>
        </is>
      </c>
      <c r="E57" s="39">
        <f>E56*Supuestos!$B$29</f>
        <v/>
      </c>
      <c r="F57" s="38" t="inlineStr"/>
      <c r="G57" s="39">
        <f>G56*Supuestos!$B$29</f>
        <v/>
      </c>
      <c r="H57" s="39">
        <f>E57-G57</f>
        <v/>
      </c>
    </row>
    <row r="58">
      <c r="A58" s="16" t="inlineStr">
        <is>
          <t>SUBTOTAL CON GESTIÓN</t>
        </is>
      </c>
      <c r="B58" s="38" t="inlineStr"/>
      <c r="C58" s="38" t="inlineStr"/>
      <c r="D58" s="38" t="inlineStr"/>
      <c r="E58" s="41">
        <f>E56+E57</f>
        <v/>
      </c>
      <c r="F58" s="38" t="inlineStr"/>
      <c r="G58" s="41">
        <f>G56+G57</f>
        <v/>
      </c>
      <c r="H58" s="41">
        <f>H56+H57</f>
        <v/>
      </c>
    </row>
    <row r="59">
      <c r="A59" s="38" t="inlineStr">
        <is>
          <t>Contingencia</t>
        </is>
      </c>
      <c r="B59" s="38" t="inlineStr">
        <is>
          <t>Reaperturas previstas en la hoja de riesgos</t>
        </is>
      </c>
      <c r="C59" s="38" t="inlineStr"/>
      <c r="D59" s="38" t="inlineStr"/>
      <c r="E59" s="39">
        <f>E58*Supuestos!$B$30</f>
        <v/>
      </c>
      <c r="F59" s="38" t="inlineStr"/>
      <c r="G59" s="39">
        <f>G58*Supuestos!$B$30</f>
        <v/>
      </c>
      <c r="H59" s="39">
        <f>E59-G59</f>
        <v/>
      </c>
    </row>
    <row r="60">
      <c r="A60" s="42" t="inlineStr">
        <is>
          <t>TOTAL HORAS</t>
        </is>
      </c>
      <c r="B60" s="43" t="inlineStr"/>
      <c r="C60" s="43" t="inlineStr"/>
      <c r="D60" s="43" t="inlineStr"/>
      <c r="E60" s="44">
        <f>E58+E59</f>
        <v/>
      </c>
      <c r="F60" s="43" t="inlineStr"/>
      <c r="G60" s="44">
        <f>G58+G59</f>
        <v/>
      </c>
      <c r="H60" s="44">
        <f>H58+H59</f>
        <v/>
      </c>
    </row>
    <row r="62">
      <c r="A62" s="24" t="inlineStr">
        <is>
          <t>Reducción de esfuerzo por uso de IA</t>
        </is>
      </c>
      <c r="E62" s="45">
        <f>1-G60/E60</f>
        <v/>
      </c>
    </row>
    <row r="63">
      <c r="A63" s="24" t="inlineStr">
        <is>
          <t>Días-persona (8 h) — tradicional / con IA</t>
        </is>
      </c>
      <c r="E63" s="46">
        <f>E60/8</f>
        <v/>
      </c>
      <c r="G63" s="46">
        <f>G60/8</f>
        <v/>
      </c>
    </row>
    <row r="64">
      <c r="A64" s="24" t="inlineStr">
        <is>
          <t>Calendario con 2 personas (semanas)</t>
        </is>
      </c>
      <c r="G64" s="47">
        <f>G60/(Supuestos!$B$7+Supuestos!$B$8)</f>
        <v/>
      </c>
    </row>
    <row r="65">
      <c r="A65" s="26" t="inlineStr">
        <is>
          <t>Nota: el plan original necesita 11 semanas con 3 personas. Con 2 personas + IA el calendario apenas se alarga, pero las horas facturables caen a menos de la mitad.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2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Costo y precio del desarrollo</t>
        </is>
      </c>
    </row>
    <row r="2">
      <c r="A2" s="2" t="inlineStr">
        <is>
          <t>Bloque A: escenario 2 personas + IA (el que se propone). Bloque B: el mismo alcance con equipo tradicional, como referencia.</t>
        </is>
      </c>
    </row>
    <row r="4" ht="20" customHeight="1">
      <c r="A4" s="3" t="inlineStr">
        <is>
          <t>A · ESCENARIO PROPUESTO — 2 PERSONAS + IA (incluye contingencia)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5" t="inlineStr">
        <is>
          <t>Rol</t>
        </is>
      </c>
      <c r="B5" s="5" t="inlineStr">
        <is>
          <t>Horas</t>
        </is>
      </c>
      <c r="C5" s="5" t="inlineStr">
        <is>
          <t>Costo USD/h</t>
        </is>
      </c>
      <c r="D5" s="5" t="inlineStr">
        <is>
          <t>Costo USD</t>
        </is>
      </c>
      <c r="E5" s="5" t="inlineStr">
        <is>
          <t>Costo PEN</t>
        </is>
      </c>
      <c r="F5" s="5" t="inlineStr">
        <is>
          <t>Venta USD/h</t>
        </is>
      </c>
      <c r="G5" s="5" t="inlineStr">
        <is>
          <t>Precio USD</t>
        </is>
      </c>
      <c r="H5" s="5" t="inlineStr">
        <is>
          <t>Precio PEN</t>
        </is>
      </c>
    </row>
    <row r="6">
      <c r="A6" s="6" t="inlineStr">
        <is>
          <t>Dev Senior Full-stack + IA</t>
        </is>
      </c>
      <c r="B6" s="7">
        <f>SUMIF(Esfuerzo!$D$5:$D$55,$A6,Esfuerzo!$G$5:$G$55)*(1+Supuestos!$B$30)</f>
        <v/>
      </c>
      <c r="C6" s="20">
        <f>Supuestos!$B$14</f>
        <v/>
      </c>
      <c r="D6" s="10">
        <f>B6*C6</f>
        <v/>
      </c>
      <c r="E6" s="11">
        <f>D6*Supuestos!$B$5</f>
        <v/>
      </c>
      <c r="F6" s="20">
        <f>Supuestos!$C$14</f>
        <v/>
      </c>
      <c r="G6" s="10">
        <f>B6*F6</f>
        <v/>
      </c>
      <c r="H6" s="11">
        <f>G6*Supuestos!$B$5</f>
        <v/>
      </c>
    </row>
    <row r="7">
      <c r="A7" s="6" t="inlineStr">
        <is>
          <t>Data / QA (medio tiempo)</t>
        </is>
      </c>
      <c r="B7" s="7">
        <f>SUMIF(Esfuerzo!$D$5:$D$55,$A7,Esfuerzo!$G$5:$G$55)*(1+Supuestos!$B$30)</f>
        <v/>
      </c>
      <c r="C7" s="20">
        <f>Supuestos!$B$15</f>
        <v/>
      </c>
      <c r="D7" s="10">
        <f>B7*C7</f>
        <v/>
      </c>
      <c r="E7" s="11">
        <f>D7*Supuestos!$B$5</f>
        <v/>
      </c>
      <c r="F7" s="20">
        <f>Supuestos!$C$15</f>
        <v/>
      </c>
      <c r="G7" s="10">
        <f>B7*F7</f>
        <v/>
      </c>
      <c r="H7" s="11">
        <f>G7*Supuestos!$B$5</f>
        <v/>
      </c>
    </row>
    <row r="8">
      <c r="A8" s="6" t="inlineStr">
        <is>
          <t>Especialista regulatorio</t>
        </is>
      </c>
      <c r="B8" s="7">
        <f>SUMIF(Esfuerzo!$D$5:$D$55,$A8,Esfuerzo!$G$5:$G$55)*(1+Supuestos!$B$30)</f>
        <v/>
      </c>
      <c r="C8" s="20">
        <f>Supuestos!$B$16</f>
        <v/>
      </c>
      <c r="D8" s="10">
        <f>B8*C8</f>
        <v/>
      </c>
      <c r="E8" s="11">
        <f>D8*Supuestos!$B$5</f>
        <v/>
      </c>
      <c r="F8" s="20">
        <f>Supuestos!$C$16</f>
        <v/>
      </c>
      <c r="G8" s="10">
        <f>B8*F8</f>
        <v/>
      </c>
      <c r="H8" s="11">
        <f>G8*Supuestos!$B$5</f>
        <v/>
      </c>
    </row>
    <row r="9">
      <c r="A9" s="6" t="inlineStr">
        <is>
          <t>Dirección técnica / PM</t>
        </is>
      </c>
      <c r="B9" s="7">
        <f>Esfuerzo!$G$57*(1+Supuestos!$B$30)</f>
        <v/>
      </c>
      <c r="C9" s="20">
        <f>Supuestos!$B$17</f>
        <v/>
      </c>
      <c r="D9" s="10">
        <f>B9*C9</f>
        <v/>
      </c>
      <c r="E9" s="11">
        <f>D9*Supuestos!$B$5</f>
        <v/>
      </c>
      <c r="F9" s="20">
        <f>Supuestos!$C$17</f>
        <v/>
      </c>
      <c r="G9" s="10">
        <f>B9*F9</f>
        <v/>
      </c>
      <c r="H9" s="11">
        <f>G9*Supuestos!$B$5</f>
        <v/>
      </c>
    </row>
    <row r="10">
      <c r="A10" s="16" t="inlineStr">
        <is>
          <t>TOTAL MANO DE OBRA</t>
        </is>
      </c>
      <c r="B10" s="41">
        <f>SUM(B6:B9)</f>
        <v/>
      </c>
      <c r="C10" s="38" t="inlineStr"/>
      <c r="D10" s="17">
        <f>SUM(D6:D9)</f>
        <v/>
      </c>
      <c r="E10" s="18">
        <f>SUM(E6:E9)</f>
        <v/>
      </c>
      <c r="F10" s="38" t="inlineStr"/>
      <c r="G10" s="17">
        <f>SUM(G6:G9)</f>
        <v/>
      </c>
      <c r="H10" s="18">
        <f>SUM(H6:H9)</f>
        <v/>
      </c>
    </row>
    <row r="12" ht="20" customHeight="1">
      <c r="A12" s="3" t="inlineStr">
        <is>
          <t>A.2 · COSTOS DIRECTOS DEL PROYECTO</t>
        </is>
      </c>
      <c r="B12" s="4" t="n"/>
      <c r="C12" s="4" t="n"/>
      <c r="D12" s="4" t="n"/>
      <c r="E12" s="4" t="n"/>
      <c r="F12" s="4" t="n"/>
      <c r="G12" s="4" t="n"/>
      <c r="H12" s="4" t="n"/>
    </row>
    <row r="13" ht="30" customHeight="1">
      <c r="A13" s="5" t="inlineStr">
        <is>
          <t>Concepto</t>
        </is>
      </c>
      <c r="B13" s="5" t="inlineStr">
        <is>
          <t>Meses</t>
        </is>
      </c>
      <c r="C13" s="5" t="inlineStr">
        <is>
          <t>USD/mes</t>
        </is>
      </c>
      <c r="D13" s="5" t="inlineStr">
        <is>
          <t>Costo USD</t>
        </is>
      </c>
      <c r="E13" s="5" t="inlineStr">
        <is>
          <t>Costo PEN</t>
        </is>
      </c>
      <c r="F13" s="5" t="inlineStr">
        <is>
          <t>Margen</t>
        </is>
      </c>
      <c r="G13" s="5" t="inlineStr">
        <is>
          <t>Precio USD</t>
        </is>
      </c>
      <c r="H13" s="5" t="inlineStr">
        <is>
          <t>Precio PEN</t>
        </is>
      </c>
    </row>
    <row r="14">
      <c r="A14" s="6" t="inlineStr">
        <is>
          <t>Licencias de IA y herramientas de desarrollo</t>
        </is>
      </c>
      <c r="B14" s="14">
        <f>ROUNDUP(Esfuerzo!$G$64/4.33,0)</f>
        <v/>
      </c>
      <c r="C14" s="20">
        <f>Herramientas_IA!$D$13-Herramientas_IA!$D$16</f>
        <v/>
      </c>
      <c r="D14" s="10">
        <f>B14*C14</f>
        <v/>
      </c>
      <c r="E14" s="11">
        <f>D14*Supuestos!$B$5</f>
        <v/>
      </c>
      <c r="F14" s="48">
        <f>Supuestos!$B$31</f>
        <v/>
      </c>
      <c r="G14" s="10">
        <f>D14*(1+F14)</f>
        <v/>
      </c>
      <c r="H14" s="11">
        <f>G14*Supuestos!$B$5</f>
        <v/>
      </c>
    </row>
    <row r="15">
      <c r="A15" s="6" t="inlineStr">
        <is>
          <t>Infraestructura de desarrollo y staging</t>
        </is>
      </c>
      <c r="B15" s="14">
        <f>ROUNDUP(Esfuerzo!$G$64/4.33,0)</f>
        <v/>
      </c>
      <c r="C15" s="20">
        <f>Infraestructura!$C$14</f>
        <v/>
      </c>
      <c r="D15" s="10">
        <f>B15*C15</f>
        <v/>
      </c>
      <c r="E15" s="11">
        <f>D15*Supuestos!$B$5</f>
        <v/>
      </c>
      <c r="F15" s="48">
        <f>Supuestos!$B$31</f>
        <v/>
      </c>
      <c r="G15" s="10">
        <f>D15*(1+F15)</f>
        <v/>
      </c>
      <c r="H15" s="11">
        <f>G15*Supuestos!$B$5</f>
        <v/>
      </c>
    </row>
    <row r="16">
      <c r="A16" s="6" t="inlineStr">
        <is>
          <t>Datos y APIs de terceros durante el build</t>
        </is>
      </c>
      <c r="B16" s="14">
        <f>ROUNDUP(Esfuerzo!$G$64/4.33,0)</f>
        <v/>
      </c>
      <c r="C16" s="20">
        <f>Herramientas_IA!$D$16</f>
        <v/>
      </c>
      <c r="D16" s="10">
        <f>B16*C16</f>
        <v/>
      </c>
      <c r="E16" s="11">
        <f>D16*Supuestos!$B$5</f>
        <v/>
      </c>
      <c r="F16" s="48">
        <f>Supuestos!$B$31</f>
        <v/>
      </c>
      <c r="G16" s="10">
        <f>D16*(1+F16)</f>
        <v/>
      </c>
      <c r="H16" s="11">
        <f>G16*Supuestos!$B$5</f>
        <v/>
      </c>
    </row>
    <row r="17">
      <c r="A17" s="16" t="inlineStr">
        <is>
          <t>TOTAL COSTOS DIRECTOS</t>
        </is>
      </c>
      <c r="B17" s="38" t="inlineStr"/>
      <c r="C17" s="38" t="inlineStr"/>
      <c r="D17" s="17">
        <f>SUM(D14:D16)</f>
        <v/>
      </c>
      <c r="E17" s="18">
        <f>SUM(E14:E16)</f>
        <v/>
      </c>
      <c r="F17" s="38" t="inlineStr"/>
      <c r="G17" s="17">
        <f>SUM(G14:G16)</f>
        <v/>
      </c>
      <c r="H17" s="18">
        <f>SUM(H14:H16)</f>
        <v/>
      </c>
    </row>
    <row r="19" ht="20" customHeight="1">
      <c r="A19" s="3" t="inlineStr">
        <is>
          <t>A.3 · TOTAL DEL PROYECTO</t>
        </is>
      </c>
      <c r="B19" s="4" t="n"/>
      <c r="C19" s="4" t="n"/>
      <c r="D19" s="4" t="n"/>
      <c r="E19" s="4" t="n"/>
      <c r="F19" s="4" t="n"/>
      <c r="G19" s="4" t="n"/>
      <c r="H19" s="4" t="n"/>
    </row>
    <row r="20" ht="30" customHeight="1">
      <c r="A20" s="5" t="inlineStr">
        <is>
          <t>Concepto</t>
        </is>
      </c>
      <c r="B20" s="5" t="inlineStr"/>
      <c r="C20" s="5" t="inlineStr"/>
      <c r="D20" s="5" t="inlineStr">
        <is>
          <t>Costo USD</t>
        </is>
      </c>
      <c r="E20" s="5" t="inlineStr">
        <is>
          <t>Costo PEN</t>
        </is>
      </c>
      <c r="F20" s="5" t="inlineStr"/>
      <c r="G20" s="5" t="inlineStr">
        <is>
          <t>Precio USD</t>
        </is>
      </c>
      <c r="H20" s="5" t="inlineStr">
        <is>
          <t>Precio PEN</t>
        </is>
      </c>
    </row>
    <row r="21">
      <c r="A21" s="6" t="inlineStr">
        <is>
          <t>Mano de obra</t>
        </is>
      </c>
      <c r="D21" s="10">
        <f>D10</f>
        <v/>
      </c>
      <c r="E21" s="11">
        <f>E10</f>
        <v/>
      </c>
      <c r="G21" s="10">
        <f>G10</f>
        <v/>
      </c>
      <c r="H21" s="11">
        <f>H10</f>
        <v/>
      </c>
    </row>
    <row r="22">
      <c r="A22" s="6" t="inlineStr">
        <is>
          <t>Costos directos</t>
        </is>
      </c>
      <c r="D22" s="10">
        <f>D17</f>
        <v/>
      </c>
      <c r="E22" s="11">
        <f>E17</f>
        <v/>
      </c>
      <c r="G22" s="10">
        <f>G17</f>
        <v/>
      </c>
      <c r="H22" s="11">
        <f>H17</f>
        <v/>
      </c>
    </row>
    <row r="23">
      <c r="A23" s="16" t="inlineStr">
        <is>
          <t>TOTAL SIN IGV</t>
        </is>
      </c>
      <c r="B23" s="38" t="inlineStr"/>
      <c r="C23" s="38" t="inlineStr"/>
      <c r="D23" s="17">
        <f>SUM(D21:D22)</f>
        <v/>
      </c>
      <c r="E23" s="18">
        <f>SUM(E21:E22)</f>
        <v/>
      </c>
      <c r="F23" s="38" t="inlineStr"/>
      <c r="G23" s="17">
        <f>SUM(G21:G22)</f>
        <v/>
      </c>
      <c r="H23" s="18">
        <f>SUM(H21:H22)</f>
        <v/>
      </c>
    </row>
    <row r="24">
      <c r="A24" s="6" t="inlineStr">
        <is>
          <t>IGV</t>
        </is>
      </c>
      <c r="G24" s="10">
        <f>G23*Supuestos!$B$6</f>
        <v/>
      </c>
      <c r="H24" s="11">
        <f>H23*Supuestos!$B$6</f>
        <v/>
      </c>
    </row>
    <row r="25">
      <c r="A25" s="16" t="inlineStr">
        <is>
          <t>TOTAL CON IGV</t>
        </is>
      </c>
      <c r="B25" s="38" t="inlineStr"/>
      <c r="C25" s="38" t="inlineStr"/>
      <c r="D25" s="38" t="inlineStr"/>
      <c r="E25" s="38" t="inlineStr"/>
      <c r="F25" s="38" t="inlineStr"/>
      <c r="G25" s="17">
        <f>G23+G24</f>
        <v/>
      </c>
      <c r="H25" s="18">
        <f>H23+H24</f>
        <v/>
      </c>
    </row>
    <row r="26">
      <c r="A26" s="34" t="inlineStr">
        <is>
          <t>Margen bruto del proyecto</t>
        </is>
      </c>
      <c r="B26" s="6" t="inlineStr"/>
      <c r="C26" s="6" t="inlineStr"/>
      <c r="D26" s="6" t="inlineStr"/>
      <c r="E26" s="6" t="inlineStr"/>
      <c r="F26" s="6" t="inlineStr"/>
      <c r="G26" s="49">
        <f>(G23-D23)/G23</f>
        <v/>
      </c>
      <c r="H26" s="22">
        <f>G23-D23</f>
        <v/>
      </c>
    </row>
    <row r="29" ht="20" customHeight="1">
      <c r="A29" s="3" t="inlineStr">
        <is>
          <t>B · REFERENCIA — MISMO ALCANCE CON EQUIPO TRADICIONAL (3 personas, sin IA)</t>
        </is>
      </c>
      <c r="B29" s="4" t="n"/>
      <c r="C29" s="4" t="n"/>
      <c r="D29" s="4" t="n"/>
      <c r="E29" s="4" t="n"/>
      <c r="F29" s="4" t="n"/>
      <c r="G29" s="4" t="n"/>
      <c r="H29" s="4" t="n"/>
    </row>
    <row r="30" ht="30" customHeight="1">
      <c r="A30" s="5" t="inlineStr">
        <is>
          <t>Rol</t>
        </is>
      </c>
      <c r="B30" s="5" t="inlineStr">
        <is>
          <t>Horas</t>
        </is>
      </c>
      <c r="C30" s="5" t="inlineStr">
        <is>
          <t>Costo USD/h</t>
        </is>
      </c>
      <c r="D30" s="5" t="inlineStr">
        <is>
          <t>Costo USD</t>
        </is>
      </c>
      <c r="E30" s="5" t="inlineStr">
        <is>
          <t>Costo PEN</t>
        </is>
      </c>
      <c r="F30" s="5" t="inlineStr">
        <is>
          <t>Venta USD/h</t>
        </is>
      </c>
      <c r="G30" s="5" t="inlineStr">
        <is>
          <t>Precio USD</t>
        </is>
      </c>
      <c r="H30" s="5" t="inlineStr">
        <is>
          <t>Precio PEN</t>
        </is>
      </c>
    </row>
    <row r="31">
      <c r="A31" s="6" t="inlineStr">
        <is>
          <t>Dev Senior Full-stack + IA</t>
        </is>
      </c>
      <c r="B31" s="7">
        <f>SUMIF(Esfuerzo!$D$5:$D$55,$A31,Esfuerzo!$E$5:$E$55)*(1+Supuestos!$B$30)</f>
        <v/>
      </c>
      <c r="C31" s="20">
        <f>Supuestos!$B$14</f>
        <v/>
      </c>
      <c r="D31" s="10">
        <f>B31*C31</f>
        <v/>
      </c>
      <c r="E31" s="11">
        <f>D31*Supuestos!$B$5</f>
        <v/>
      </c>
      <c r="F31" s="20">
        <f>Supuestos!$C$14</f>
        <v/>
      </c>
      <c r="G31" s="10">
        <f>B31*F31</f>
        <v/>
      </c>
      <c r="H31" s="11">
        <f>G31*Supuestos!$B$5</f>
        <v/>
      </c>
    </row>
    <row r="32">
      <c r="A32" s="6" t="inlineStr">
        <is>
          <t>Data / QA (medio tiempo)</t>
        </is>
      </c>
      <c r="B32" s="7">
        <f>SUMIF(Esfuerzo!$D$5:$D$55,$A32,Esfuerzo!$E$5:$E$55)*(1+Supuestos!$B$30)</f>
        <v/>
      </c>
      <c r="C32" s="20">
        <f>Supuestos!$B$15</f>
        <v/>
      </c>
      <c r="D32" s="10">
        <f>B32*C32</f>
        <v/>
      </c>
      <c r="E32" s="11">
        <f>D32*Supuestos!$B$5</f>
        <v/>
      </c>
      <c r="F32" s="20">
        <f>Supuestos!$C$15</f>
        <v/>
      </c>
      <c r="G32" s="10">
        <f>B32*F32</f>
        <v/>
      </c>
      <c r="H32" s="11">
        <f>G32*Supuestos!$B$5</f>
        <v/>
      </c>
    </row>
    <row r="33">
      <c r="A33" s="6" t="inlineStr">
        <is>
          <t>Especialista regulatorio</t>
        </is>
      </c>
      <c r="B33" s="7">
        <f>SUMIF(Esfuerzo!$D$5:$D$55,$A33,Esfuerzo!$E$5:$E$55)*(1+Supuestos!$B$30)</f>
        <v/>
      </c>
      <c r="C33" s="20">
        <f>Supuestos!$B$16</f>
        <v/>
      </c>
      <c r="D33" s="10">
        <f>B33*C33</f>
        <v/>
      </c>
      <c r="E33" s="11">
        <f>D33*Supuestos!$B$5</f>
        <v/>
      </c>
      <c r="F33" s="20">
        <f>Supuestos!$C$16</f>
        <v/>
      </c>
      <c r="G33" s="10">
        <f>B33*F33</f>
        <v/>
      </c>
      <c r="H33" s="11">
        <f>G33*Supuestos!$B$5</f>
        <v/>
      </c>
    </row>
    <row r="34">
      <c r="A34" s="6" t="inlineStr">
        <is>
          <t>Dirección técnica / PM</t>
        </is>
      </c>
      <c r="B34" s="7">
        <f>Esfuerzo!$E$57*(1+Supuestos!$B$30)</f>
        <v/>
      </c>
      <c r="C34" s="20">
        <f>Supuestos!$B$17</f>
        <v/>
      </c>
      <c r="D34" s="10">
        <f>B34*C34</f>
        <v/>
      </c>
      <c r="E34" s="11">
        <f>D34*Supuestos!$B$5</f>
        <v/>
      </c>
      <c r="F34" s="20">
        <f>Supuestos!$C$17</f>
        <v/>
      </c>
      <c r="G34" s="10">
        <f>B34*F34</f>
        <v/>
      </c>
      <c r="H34" s="11">
        <f>G34*Supuestos!$B$5</f>
        <v/>
      </c>
    </row>
    <row r="35">
      <c r="A35" s="16" t="inlineStr">
        <is>
          <t>TOTAL MANO DE OBRA</t>
        </is>
      </c>
      <c r="B35" s="41">
        <f>SUM(B31:B34)</f>
        <v/>
      </c>
      <c r="C35" s="38" t="inlineStr"/>
      <c r="D35" s="17">
        <f>SUM(D31:D34)</f>
        <v/>
      </c>
      <c r="E35" s="18">
        <f>SUM(E31:E34)</f>
        <v/>
      </c>
      <c r="F35" s="38" t="inlineStr"/>
      <c r="G35" s="17">
        <f>SUM(G31:G34)</f>
        <v/>
      </c>
      <c r="H35" s="18">
        <f>SUM(H31:H34)</f>
        <v/>
      </c>
    </row>
    <row r="37" ht="20" customHeight="1">
      <c r="A37" s="3" t="inlineStr">
        <is>
          <t>B.2 · COMPARACIÓN</t>
        </is>
      </c>
      <c r="B37" s="4" t="n"/>
      <c r="C37" s="4" t="n"/>
      <c r="D37" s="4" t="n"/>
      <c r="E37" s="4" t="n"/>
      <c r="F37" s="4" t="n"/>
      <c r="G37" s="4" t="n"/>
      <c r="H37" s="4" t="n"/>
    </row>
    <row r="38" ht="30" customHeight="1">
      <c r="A38" s="5" t="inlineStr">
        <is>
          <t>Concepto</t>
        </is>
      </c>
      <c r="B38" s="5" t="inlineStr">
        <is>
          <t>Tradicional</t>
        </is>
      </c>
      <c r="C38" s="5" t="inlineStr">
        <is>
          <t>2 pers. + IA</t>
        </is>
      </c>
      <c r="D38" s="5" t="inlineStr">
        <is>
          <t>Ahorro USD</t>
        </is>
      </c>
      <c r="E38" s="5" t="inlineStr">
        <is>
          <t>Ahorro %</t>
        </is>
      </c>
      <c r="F38" s="5" t="inlineStr"/>
      <c r="G38" s="5" t="inlineStr"/>
      <c r="H38" s="5" t="inlineStr"/>
    </row>
    <row r="39">
      <c r="A39" s="6" t="inlineStr">
        <is>
          <t>Horas de proyecto</t>
        </is>
      </c>
      <c r="B39" s="7">
        <f>B35</f>
        <v/>
      </c>
      <c r="C39" s="7">
        <f>B10</f>
        <v/>
      </c>
      <c r="D39" s="7">
        <f>B39-C39</f>
        <v/>
      </c>
      <c r="E39" s="12">
        <f>1-C39/B39</f>
        <v/>
      </c>
    </row>
    <row r="40">
      <c r="A40" s="6" t="inlineStr">
        <is>
          <t>Costo de mano de obra (USD)</t>
        </is>
      </c>
      <c r="B40" s="10">
        <f>D35</f>
        <v/>
      </c>
      <c r="C40" s="10">
        <f>D10</f>
        <v/>
      </c>
      <c r="D40" s="10">
        <f>B40-C40</f>
        <v/>
      </c>
      <c r="E40" s="12">
        <f>1-C40/B40</f>
        <v/>
      </c>
    </row>
    <row r="41">
      <c r="A41" s="6" t="inlineStr">
        <is>
          <t>Precio de venta equivalente (USD)</t>
        </is>
      </c>
      <c r="B41" s="10">
        <f>G35</f>
        <v/>
      </c>
      <c r="C41" s="10">
        <f>G10</f>
        <v/>
      </c>
      <c r="D41" s="10">
        <f>B41-C41</f>
        <v/>
      </c>
      <c r="E41" s="12">
        <f>1-C41/B41</f>
        <v/>
      </c>
    </row>
    <row r="42">
      <c r="A42" s="6" t="inlineStr">
        <is>
          <t>Calendario (semanas)</t>
        </is>
      </c>
      <c r="B42" s="7">
        <f>Supuestos!$B$9</f>
        <v/>
      </c>
      <c r="C42" s="7">
        <f>Esfuerzo!$G$64</f>
        <v/>
      </c>
      <c r="D42" s="7">
        <f>B42-C42</f>
        <v/>
      </c>
      <c r="E42" s="12">
        <f>IF(B42=0,0,1-C42/B42)</f>
        <v/>
      </c>
    </row>
    <row r="44">
      <c r="A44" s="26" t="inlineStr">
        <is>
          <t>La aceleración por IA no comprime el calendario (2 personas rinden casi lo mismo que 3 en tiempo), pero sí el costo: la misma entrega con menos de la mitad de horas facturables.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1" customWidth="1" min="3" max="3"/>
    <col width="12" customWidth="1" min="4" max="4"/>
    <col width="11" customWidth="1" min="5" max="5"/>
    <col width="13" customWidth="1" min="6" max="6"/>
    <col width="52" customWidth="1" min="7" max="7"/>
  </cols>
  <sheetData>
    <row r="1" ht="24" customHeight="1">
      <c r="A1" s="1" t="inlineStr">
        <is>
          <t>Licencias de IA, APIs y herramientas</t>
        </is>
      </c>
    </row>
    <row r="2">
      <c r="A2" s="2" t="inlineStr">
        <is>
          <t>El gasto que sustituye horas de equipo. Se separa lo que solo corre durante el build de lo que sigue en operación.</t>
        </is>
      </c>
    </row>
    <row r="4" ht="30" customHeight="1">
      <c r="A4" s="5" t="inlineStr">
        <is>
          <t>Concepto</t>
        </is>
      </c>
      <c r="B4" s="5" t="inlineStr">
        <is>
          <t>Categoría</t>
        </is>
      </c>
      <c r="C4" s="5" t="inlineStr">
        <is>
          <t>Unidades</t>
        </is>
      </c>
      <c r="D4" s="5" t="inlineStr">
        <is>
          <t>USD/mes</t>
        </is>
      </c>
      <c r="E4" s="5" t="inlineStr">
        <is>
          <t>En build</t>
        </is>
      </c>
      <c r="F4" s="5" t="inlineStr">
        <is>
          <t>En operación</t>
        </is>
      </c>
      <c r="G4" s="5" t="inlineStr">
        <is>
          <t>Nota</t>
        </is>
      </c>
    </row>
    <row r="5">
      <c r="A5" s="6" t="inlineStr">
        <is>
          <t>Claude Code (plan Max 20x)</t>
        </is>
      </c>
      <c r="B5" s="6" t="inlineStr">
        <is>
          <t>IA de desarrollo</t>
        </is>
      </c>
      <c r="C5" s="14" t="n">
        <v>1</v>
      </c>
      <c r="D5" s="30" t="n">
        <v>200</v>
      </c>
      <c r="E5" s="8" t="inlineStr">
        <is>
          <t>Sí</t>
        </is>
      </c>
      <c r="F5" s="8" t="inlineStr">
        <is>
          <t>Sí</t>
        </is>
      </c>
      <c r="G5" s="9" t="inlineStr">
        <is>
          <t>El motor de la aceleración: 1 asiento para el dev senior.</t>
        </is>
      </c>
    </row>
    <row r="6">
      <c r="A6" s="6" t="inlineStr">
        <is>
          <t>Claude Code (plan Pro)</t>
        </is>
      </c>
      <c r="B6" s="6" t="inlineStr">
        <is>
          <t>IA de desarrollo</t>
        </is>
      </c>
      <c r="C6" s="14" t="n">
        <v>1</v>
      </c>
      <c r="D6" s="30" t="n">
        <v>100</v>
      </c>
      <c r="E6" s="8" t="inlineStr">
        <is>
          <t>Sí</t>
        </is>
      </c>
      <c r="F6" s="8" t="inlineStr">
        <is>
          <t>No</t>
        </is>
      </c>
      <c r="G6" s="9" t="inlineStr">
        <is>
          <t>Asiento del perfil Data/QA durante el build.</t>
        </is>
      </c>
    </row>
    <row r="7">
      <c r="A7" s="6" t="inlineStr">
        <is>
          <t>GitHub Team</t>
        </is>
      </c>
      <c r="B7" s="6" t="inlineStr">
        <is>
          <t>Desarrollo</t>
        </is>
      </c>
      <c r="C7" s="14" t="n">
        <v>2</v>
      </c>
      <c r="D7" s="30" t="n">
        <v>8</v>
      </c>
      <c r="E7" s="8" t="inlineStr">
        <is>
          <t>Sí</t>
        </is>
      </c>
      <c r="F7" s="8" t="inlineStr">
        <is>
          <t>Sí</t>
        </is>
      </c>
      <c r="G7" s="9" t="inlineStr">
        <is>
          <t>Repos privados, Actions y revisión de PR.</t>
        </is>
      </c>
    </row>
    <row r="8">
      <c r="A8" s="6" t="inlineStr">
        <is>
          <t>Tavily (búsqueda del agente)</t>
        </is>
      </c>
      <c r="B8" s="6" t="inlineStr">
        <is>
          <t>API de datos</t>
        </is>
      </c>
      <c r="C8" s="14" t="n">
        <v>1</v>
      </c>
      <c r="D8" s="30" t="n">
        <v>50</v>
      </c>
      <c r="E8" s="8" t="inlineStr">
        <is>
          <t>Sí</t>
        </is>
      </c>
      <c r="F8" s="8" t="inlineStr">
        <is>
          <t>Sí</t>
        </is>
      </c>
      <c r="G8" s="9" t="inlineStr">
        <is>
          <t>Búsqueda web del AgenteInvestigadorComercial.</t>
        </is>
      </c>
    </row>
    <row r="9">
      <c r="A9" s="6" t="inlineStr">
        <is>
          <t>Bright Data (Web Unlocker / Scraper)</t>
        </is>
      </c>
      <c r="B9" s="6" t="inlineStr">
        <is>
          <t>API de datos</t>
        </is>
      </c>
      <c r="C9" s="14" t="n">
        <v>1</v>
      </c>
      <c r="D9" s="30" t="n">
        <v>200</v>
      </c>
      <c r="E9" s="8" t="inlineStr">
        <is>
          <t>Sí</t>
        </is>
      </c>
      <c r="F9" s="8" t="inlineStr">
        <is>
          <t>Sí</t>
        </is>
      </c>
      <c r="G9" s="9" t="inlineStr">
        <is>
          <t>5 tiendas anti-bot de N2. Pago por uso; el tope lo pone el kill-switch.</t>
        </is>
      </c>
    </row>
    <row r="10">
      <c r="A10" s="6" t="inlineStr">
        <is>
          <t>Huawei ModelArts MaaS (dev/test)</t>
        </is>
      </c>
      <c r="B10" s="6" t="inlineStr">
        <is>
          <t>LLM</t>
        </is>
      </c>
      <c r="C10" s="14" t="n">
        <v>1</v>
      </c>
      <c r="D10" s="30" t="n">
        <v>40</v>
      </c>
      <c r="E10" s="8" t="inlineStr">
        <is>
          <t>Sí</t>
        </is>
      </c>
      <c r="F10" s="8" t="inlineStr">
        <is>
          <t>No</t>
        </is>
      </c>
      <c r="G10" s="9" t="inlineStr">
        <is>
          <t>Tokens quemados en pruebas y evaluaciones, no en producción.</t>
        </is>
      </c>
    </row>
    <row r="11">
      <c r="A11" s="6" t="inlineStr">
        <is>
          <t>Logfire / Sentry</t>
        </is>
      </c>
      <c r="B11" s="6" t="inlineStr">
        <is>
          <t>Observabilidad</t>
        </is>
      </c>
      <c r="C11" s="14" t="n">
        <v>1</v>
      </c>
      <c r="D11" s="30" t="n">
        <v>29</v>
      </c>
      <c r="E11" s="8" t="inlineStr">
        <is>
          <t>Sí</t>
        </is>
      </c>
      <c r="F11" s="8" t="inlineStr">
        <is>
          <t>Sí</t>
        </is>
      </c>
      <c r="G11" s="9" t="inlineStr">
        <is>
          <t>Trazas de la app. Prometheus y Grafana van autoalojados: US$ 0.</t>
        </is>
      </c>
    </row>
    <row r="12">
      <c r="A12" s="6" t="inlineStr">
        <is>
          <t>Dominio, TLS y correo transaccional</t>
        </is>
      </c>
      <c r="B12" s="6" t="inlineStr">
        <is>
          <t>Infra ligera</t>
        </is>
      </c>
      <c r="C12" s="14" t="n">
        <v>1</v>
      </c>
      <c r="D12" s="30" t="n">
        <v>8</v>
      </c>
      <c r="E12" s="8" t="inlineStr">
        <is>
          <t>Sí</t>
        </is>
      </c>
      <c r="F12" s="8" t="inlineStr">
        <is>
          <t>Sí</t>
        </is>
      </c>
      <c r="G12" s="9" t="inlineStr">
        <is>
          <t>TLS por Let's Encrypt.</t>
        </is>
      </c>
    </row>
    <row r="13">
      <c r="A13" s="16" t="inlineStr">
        <is>
          <t>TOTAL EN BUILD (USD/mes)</t>
        </is>
      </c>
      <c r="B13" s="38" t="inlineStr"/>
      <c r="C13" s="38" t="inlineStr"/>
      <c r="D13" s="35">
        <f>SUMPRODUCT(($E$5:$E$12="Sí")*$C$5:$C$12*$D$5:$D$12)</f>
        <v/>
      </c>
      <c r="E13" s="38" t="inlineStr"/>
      <c r="F13" s="38" t="inlineStr"/>
      <c r="G13" s="38" t="inlineStr"/>
    </row>
    <row r="14">
      <c r="A14" s="16" t="inlineStr">
        <is>
          <t>TOTAL EN OPERACIÓN (USD/mes)</t>
        </is>
      </c>
      <c r="B14" s="38" t="inlineStr"/>
      <c r="C14" s="38" t="inlineStr"/>
      <c r="D14" s="35">
        <f>SUMPRODUCT(($F$5:$F$12="Sí")*$C$5:$C$12*$D$5:$D$12)</f>
        <v/>
      </c>
      <c r="E14" s="38" t="inlineStr"/>
      <c r="F14" s="38" t="inlineStr"/>
      <c r="G14" s="38" t="inlineStr"/>
    </row>
    <row r="15">
      <c r="A15" s="16" t="inlineStr">
        <is>
          <t>Solo IA de desarrollo (build)</t>
        </is>
      </c>
      <c r="B15" s="38" t="inlineStr"/>
      <c r="C15" s="38" t="inlineStr"/>
      <c r="D15" s="35">
        <f>SUMPRODUCT(($B$5:$B$12="IA de desarrollo")*$C$5:$C$12*$D$5:$D$12)</f>
        <v/>
      </c>
      <c r="E15" s="38" t="inlineStr"/>
      <c r="F15" s="38" t="inlineStr"/>
      <c r="G15" s="38" t="inlineStr"/>
    </row>
    <row r="16">
      <c r="A16" s="16" t="inlineStr">
        <is>
          <t>Solo APIs de datos (build)</t>
        </is>
      </c>
      <c r="B16" s="38" t="inlineStr"/>
      <c r="C16" s="38" t="inlineStr"/>
      <c r="D16" s="35">
        <f>SUMPRODUCT(($B$5:$B$12="API de datos")*$C$5:$C$12*$D$5:$D$12)</f>
        <v/>
      </c>
      <c r="E16" s="38" t="inlineStr"/>
      <c r="F16" s="38" t="inlineStr"/>
      <c r="G16" s="38" t="inlineStr"/>
    </row>
    <row r="18">
      <c r="A18" s="50" t="inlineStr">
        <is>
          <t>Retorno de las licencias de IA</t>
        </is>
      </c>
    </row>
    <row r="19">
      <c r="A19" s="25" t="inlineStr">
        <is>
          <t>Costo de IA durante todo el build (USD)</t>
        </is>
      </c>
      <c r="D19" s="51">
        <f>$D$15*ROUNDUP(Esfuerzo!$G$64/4.33,0)</f>
        <v/>
      </c>
    </row>
    <row r="20">
      <c r="A20" s="25" t="inlineStr">
        <is>
          <t>Horas de trabajo que evita (h)</t>
        </is>
      </c>
      <c r="D20" s="46">
        <f>Esfuerzo!$H$60</f>
        <v/>
      </c>
    </row>
    <row r="21">
      <c r="A21" s="25" t="inlineStr">
        <is>
          <t>Valor de esas horas a tarifa de costo (USD)</t>
        </is>
      </c>
      <c r="D21" s="51">
        <f>Esfuerzo!$H$60*Supuestos!$B$14</f>
        <v/>
      </c>
    </row>
    <row r="22">
      <c r="A22" s="24" t="inlineStr">
        <is>
          <t>Retorno de la inversión en IA</t>
        </is>
      </c>
      <c r="D22" s="52">
        <f>D21/D19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20" customWidth="1" min="4" max="4"/>
    <col width="56" customWidth="1" min="5" max="5"/>
  </cols>
  <sheetData>
    <row r="1" ht="24" customHeight="1">
      <c r="A1" s="1" t="inlineStr">
        <is>
          <t>Infraestructura — Huawei Cloud LA-Santiago</t>
        </is>
      </c>
    </row>
    <row r="2">
      <c r="A2" s="2" t="inlineStr">
        <is>
          <t>Dimensionada por bge-m3 (2,3 GB en RAM), no por el tráfico. Precios con compromiso anual.</t>
        </is>
      </c>
    </row>
    <row r="4" ht="30" customHeight="1">
      <c r="A4" s="5" t="inlineStr">
        <is>
          <t>Recurso</t>
        </is>
      </c>
      <c r="B4" s="5" t="inlineStr">
        <is>
          <t>Especificación</t>
        </is>
      </c>
      <c r="C4" s="5" t="inlineStr">
        <is>
          <t>USD/mes dev</t>
        </is>
      </c>
      <c r="D4" s="5" t="inlineStr">
        <is>
          <t>USD/mes producción</t>
        </is>
      </c>
      <c r="E4" s="5" t="inlineStr">
        <is>
          <t>Nota</t>
        </is>
      </c>
    </row>
    <row r="5">
      <c r="A5" s="6" t="inlineStr">
        <is>
          <t>ECS API</t>
        </is>
      </c>
      <c r="B5" s="6" t="inlineStr">
        <is>
          <t>s7n.xlarge.2 · 4 vCPU / 8 GB × 2 en prod</t>
        </is>
      </c>
      <c r="C5" s="30" t="n">
        <v>60</v>
      </c>
      <c r="D5" s="30" t="n">
        <v>120</v>
      </c>
      <c r="E5" s="9" t="inlineStr">
        <is>
          <t>8 GB es el suelo: el modelo de embeddings ocupa 2,3 GB y --workers 1.</t>
        </is>
      </c>
    </row>
    <row r="6">
      <c r="A6" s="6" t="inlineStr">
        <is>
          <t>ELB</t>
        </is>
      </c>
      <c r="B6" s="6" t="inlineStr">
        <is>
          <t>Balanceador compartido</t>
        </is>
      </c>
      <c r="C6" s="30" t="n">
        <v>0</v>
      </c>
      <c r="D6" s="30" t="n">
        <v>25</v>
      </c>
      <c r="E6" s="9" t="inlineStr">
        <is>
          <t>Solo en producción; en dev se entra directo al ECS.</t>
        </is>
      </c>
    </row>
    <row r="7">
      <c r="A7" s="6" t="inlineStr">
        <is>
          <t>RDS PostgreSQL</t>
        </is>
      </c>
      <c r="B7" s="6" t="inlineStr">
        <is>
          <t>rds.pg.n1.large.2 + réplica de lectura</t>
        </is>
      </c>
      <c r="C7" s="30" t="n">
        <v>35</v>
      </c>
      <c r="D7" s="30" t="n">
        <v>130</v>
      </c>
      <c r="E7" s="9" t="inlineStr">
        <is>
          <t>En red privada, sin acceso público. RTT &lt; 2 ms desde el ECS.</t>
        </is>
      </c>
    </row>
    <row r="8">
      <c r="A8" s="6" t="inlineStr">
        <is>
          <t>EVS</t>
        </is>
      </c>
      <c r="B8" s="6" t="inlineStr">
        <is>
          <t>SSD 100 GB en /data</t>
        </is>
      </c>
      <c r="C8" s="30" t="n">
        <v>12</v>
      </c>
      <c r="D8" s="30" t="n">
        <v>24</v>
      </c>
      <c r="E8" s="9" t="inlineStr">
        <is>
          <t>PDFs de trabajo, índice LanceDB y logs.</t>
        </is>
      </c>
    </row>
    <row r="9">
      <c r="A9" s="6" t="inlineStr">
        <is>
          <t>EIP y tráfico</t>
        </is>
      </c>
      <c r="B9" s="6" t="inlineStr">
        <is>
          <t>Pago por tráfico</t>
        </is>
      </c>
      <c r="C9" s="30" t="n">
        <v>8</v>
      </c>
      <c r="D9" s="30" t="n">
        <v>20</v>
      </c>
      <c r="E9" s="9" t="inlineStr">
        <is>
          <t>Uso bajo; el tráfico pesado va por CDN.</t>
        </is>
      </c>
    </row>
    <row r="10">
      <c r="A10" s="6" t="inlineStr">
        <is>
          <t>OBS</t>
        </is>
      </c>
      <c r="B10" s="6" t="inlineStr">
        <is>
          <t>Object storage 100 GB</t>
        </is>
      </c>
      <c r="C10" s="30" t="n">
        <v>2</v>
      </c>
      <c r="D10" s="30" t="n">
        <v>6</v>
      </c>
      <c r="E10" s="9" t="inlineStr">
        <is>
          <t>Fuente de verdad de snapshot, índice, PDFs y pesos del modelo.</t>
        </is>
      </c>
    </row>
    <row r="11">
      <c r="A11" s="6" t="inlineStr">
        <is>
          <t>CBR</t>
        </is>
      </c>
      <c r="B11" s="6" t="inlineStr">
        <is>
          <t>Backup con retención 7 días + PITR</t>
        </is>
      </c>
      <c r="C11" s="30" t="n">
        <v>8</v>
      </c>
      <c r="D11" s="30" t="n">
        <v>16</v>
      </c>
      <c r="E11" s="9" t="inlineStr">
        <is>
          <t>Sustituye el pg_dump manual.</t>
        </is>
      </c>
    </row>
    <row r="12">
      <c r="A12" s="6" t="inlineStr">
        <is>
          <t>LTS + CES + SMN</t>
        </is>
      </c>
      <c r="B12" s="6" t="inlineStr">
        <is>
          <t>Logs, métricas y alarmas</t>
        </is>
      </c>
      <c r="C12" s="30" t="n">
        <v>3</v>
      </c>
      <c r="D12" s="30" t="n">
        <v>8</v>
      </c>
      <c r="E12" s="9" t="inlineStr">
        <is>
          <t>4 alarmas: CPU, memoria, disco e instancia caída.</t>
        </is>
      </c>
    </row>
    <row r="13">
      <c r="A13" s="6" t="inlineStr">
        <is>
          <t>CDN</t>
        </is>
      </c>
      <c r="B13" s="6" t="inlineStr">
        <is>
          <t>Cloudflare (plan Pro)</t>
        </is>
      </c>
      <c r="C13" s="30" t="n">
        <v>0</v>
      </c>
      <c r="D13" s="30" t="n">
        <v>20</v>
      </c>
      <c r="E13" s="9" t="inlineStr">
        <is>
          <t>Sirve datasets/ y PDFs; descarga al ECS.</t>
        </is>
      </c>
    </row>
    <row r="14">
      <c r="A14" s="16" t="inlineStr">
        <is>
          <t>TOTAL HUAWEI (USD/mes)</t>
        </is>
      </c>
      <c r="B14" s="38" t="inlineStr"/>
      <c r="C14" s="35">
        <f>SUM(C5:C13)</f>
        <v/>
      </c>
      <c r="D14" s="35">
        <f>SUM(D5:D13)</f>
        <v/>
      </c>
      <c r="E14" s="38" t="inlineStr"/>
    </row>
    <row r="16" ht="20" customHeight="1">
      <c r="A16" s="3" t="inlineStr">
        <is>
          <t>COSTO OPERATIVO MENSUAL COMPLETO</t>
        </is>
      </c>
      <c r="B16" s="4" t="n"/>
      <c r="C16" s="4" t="n"/>
      <c r="D16" s="4" t="n"/>
      <c r="E16" s="4" t="n"/>
    </row>
    <row r="17">
      <c r="A17" s="6" t="inlineStr">
        <is>
          <t>Infraestructura Huawei (producción)</t>
        </is>
      </c>
      <c r="D17" s="20">
        <f>D14</f>
        <v/>
      </c>
      <c r="E17" s="9" t="inlineStr">
        <is>
          <t>Suma de la tabla de arriba.</t>
        </is>
      </c>
    </row>
    <row r="18">
      <c r="A18" s="6" t="inlineStr">
        <is>
          <t>Licencias, APIs y observabilidad</t>
        </is>
      </c>
      <c r="D18" s="20">
        <f>Herramientas_IA!$D$14</f>
        <v/>
      </c>
      <c r="E18" s="9" t="inlineStr">
        <is>
          <t>De la hoja Herramientas_IA, solo lo marcado 'en operación'.</t>
        </is>
      </c>
    </row>
    <row r="19">
      <c r="A19" s="6" t="inlineStr">
        <is>
          <t>Mantenimiento y soporte</t>
        </is>
      </c>
      <c r="D19" s="20">
        <f>Supuestos!$B$50</f>
        <v/>
      </c>
      <c r="E19" s="9" t="inlineStr">
        <is>
          <t>0,25 FTE del dev senior.</t>
        </is>
      </c>
    </row>
    <row r="20">
      <c r="A20" s="16" t="inlineStr">
        <is>
          <t>TOTAL FIJO MENSUAL (USD)</t>
        </is>
      </c>
      <c r="B20" s="38" t="inlineStr"/>
      <c r="C20" s="38" t="inlineStr"/>
      <c r="D20" s="17">
        <f>SUM(D17:D19)</f>
        <v/>
      </c>
      <c r="E20" s="19" t="inlineStr">
        <is>
          <t>No incluye el costo variable de LLM (hoja Costo_LLM).</t>
        </is>
      </c>
    </row>
    <row r="21">
      <c r="A21" s="34" t="inlineStr">
        <is>
          <t>TOTAL FIJO MENSUAL (PEN)</t>
        </is>
      </c>
      <c r="B21" s="6" t="inlineStr"/>
      <c r="C21" s="6" t="inlineStr"/>
      <c r="D21" s="53">
        <f>D20*Supuestos!$B$5</f>
        <v/>
      </c>
      <c r="E21" s="6" t="inlineStr"/>
    </row>
    <row r="23" ht="20" customHeight="1">
      <c r="A23" s="3" t="inlineStr">
        <is>
          <t>AHORRO FRENTE AL DISEÑO ORIGINAL DEL PLAN v3</t>
        </is>
      </c>
      <c r="B23" s="4" t="n"/>
      <c r="C23" s="4" t="n"/>
      <c r="D23" s="4" t="n"/>
      <c r="E23" s="4" t="n"/>
    </row>
    <row r="24" ht="30" customHeight="1">
      <c r="A24" s="5" t="inlineStr">
        <is>
          <t>Concepto</t>
        </is>
      </c>
      <c r="B24" s="5" t="inlineStr">
        <is>
          <t>Plan v3 original (AWS)</t>
        </is>
      </c>
      <c r="C24" s="5" t="inlineStr">
        <is>
          <t>Esta propuesta (Huawei)</t>
        </is>
      </c>
      <c r="D24" s="5" t="inlineStr">
        <is>
          <t>Ahorro USD/mes</t>
        </is>
      </c>
      <c r="E24" s="5" t="inlineStr">
        <is>
          <t>Cómo</t>
        </is>
      </c>
    </row>
    <row r="25">
      <c r="A25" s="6" t="inlineStr">
        <is>
          <t>Compute</t>
        </is>
      </c>
      <c r="B25" s="10" t="n">
        <v>350</v>
      </c>
      <c r="C25" s="10">
        <f>D5</f>
        <v/>
      </c>
      <c r="D25" s="10">
        <f>B25-C25</f>
        <v/>
      </c>
      <c r="E25" s="9" t="inlineStr">
        <is>
          <t>2 ECS en Huawei en vez de 2 t4g.xlarge en AWS.</t>
        </is>
      </c>
    </row>
    <row r="26">
      <c r="A26" s="6" t="inlineStr">
        <is>
          <t>Base de datos</t>
        </is>
      </c>
      <c r="B26" s="10" t="n">
        <v>250</v>
      </c>
      <c r="C26" s="10">
        <f>D7</f>
        <v/>
      </c>
      <c r="D26" s="10">
        <f>B26-C26</f>
        <v/>
      </c>
      <c r="E26" s="9" t="inlineStr">
        <is>
          <t>RDS con una réplica, no dos, y sin multi-AZ.</t>
        </is>
      </c>
    </row>
    <row r="27">
      <c r="A27" s="6" t="inlineStr">
        <is>
          <t>Object storage y CDN</t>
        </is>
      </c>
      <c r="B27" s="10" t="n">
        <v>125</v>
      </c>
      <c r="C27" s="10">
        <f>D10+D13</f>
        <v/>
      </c>
      <c r="D27" s="10">
        <f>B27-C27</f>
        <v/>
      </c>
      <c r="E27" s="9" t="inlineStr">
        <is>
          <t>OBS + Cloudflare Pro.</t>
        </is>
      </c>
    </row>
    <row r="28">
      <c r="A28" s="6" t="inlineStr">
        <is>
          <t>Observabilidad</t>
        </is>
      </c>
      <c r="B28" s="10" t="n">
        <v>150</v>
      </c>
      <c r="C28" s="10" t="n">
        <v>0</v>
      </c>
      <c r="D28" s="10">
        <f>B28-C28</f>
        <v/>
      </c>
      <c r="E28" s="9" t="inlineStr">
        <is>
          <t>Prometheus y Grafana autoalojados en el ECS existente.</t>
        </is>
      </c>
    </row>
    <row r="29">
      <c r="A29" s="6" t="inlineStr">
        <is>
          <t>Alertas (PagerDuty)</t>
        </is>
      </c>
      <c r="B29" s="10" t="n">
        <v>75</v>
      </c>
      <c r="C29" s="10" t="n">
        <v>0</v>
      </c>
      <c r="D29" s="10">
        <f>B29-C29</f>
        <v/>
      </c>
      <c r="E29" s="9" t="inlineStr">
        <is>
          <t>Webhook a Slack + alarmas CES. Cero licencia.</t>
        </is>
      </c>
    </row>
    <row r="30">
      <c r="A30" s="16" t="inlineStr">
        <is>
          <t>TOTAL</t>
        </is>
      </c>
      <c r="B30" s="17">
        <f>SUM(B25:B29)</f>
        <v/>
      </c>
      <c r="C30" s="17">
        <f>SUM(C25:C29)</f>
        <v/>
      </c>
      <c r="D30" s="17">
        <f>SUM(D25:D29)</f>
        <v/>
      </c>
      <c r="E30" s="38" t="inlineStr"/>
    </row>
    <row r="31">
      <c r="A31" s="24" t="inlineStr">
        <is>
          <t>Ahorro anual</t>
        </is>
      </c>
      <c r="D31" s="54">
        <f>D30*12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8" customWidth="1" min="4" max="4"/>
    <col width="16" customWidth="1" min="5" max="5"/>
    <col width="20" customWidth="1" min="6" max="6"/>
    <col width="24" customWidth="1" min="7" max="7"/>
  </cols>
  <sheetData>
    <row r="1" ht="24" customHeight="1">
      <c r="A1" s="1" t="inlineStr">
        <is>
          <t>Costo variable por consulta</t>
        </is>
      </c>
    </row>
    <row r="2">
      <c r="A2" s="2" t="inlineStr">
        <is>
          <t>El único costo que escala con el uso. Medido sobre el reparto de modelos por etapa.</t>
        </is>
      </c>
    </row>
    <row r="4" ht="30" customHeight="1">
      <c r="A4" s="5" t="inlineStr">
        <is>
          <t>Etapa</t>
        </is>
      </c>
      <c r="B4" s="5" t="inlineStr">
        <is>
          <t>Modelo</t>
        </is>
      </c>
      <c r="C4" s="5" t="inlineStr">
        <is>
          <t>Tokens ent.</t>
        </is>
      </c>
      <c r="D4" s="5" t="inlineStr">
        <is>
          <t>Tokens sal.</t>
        </is>
      </c>
      <c r="E4" s="5" t="inlineStr">
        <is>
          <t>USD/run</t>
        </is>
      </c>
      <c r="F4" s="5" t="inlineStr">
        <is>
          <t>Plan</t>
        </is>
      </c>
      <c r="G4" s="5" t="inlineStr">
        <is>
          <t>Nota</t>
        </is>
      </c>
    </row>
    <row r="5">
      <c r="A5" s="6" t="inlineStr">
        <is>
          <t>1 · Interpretar insumo</t>
        </is>
      </c>
      <c r="B5" s="6" t="inlineStr">
        <is>
          <t>deepseek-v4-flash</t>
        </is>
      </c>
      <c r="C5" s="14" t="n">
        <v>400</v>
      </c>
      <c r="D5" s="14" t="n">
        <v>230</v>
      </c>
      <c r="E5" s="55" t="n">
        <v>0.00021</v>
      </c>
      <c r="F5" s="8" t="inlineStr">
        <is>
          <t>Gratuito</t>
        </is>
      </c>
      <c r="G5" s="9" t="inlineStr">
        <is>
          <t>Cacheado: la 2.ª consulta del mismo insumo cuesta 0.</t>
        </is>
      </c>
    </row>
    <row r="6">
      <c r="A6" s="6" t="inlineStr">
        <is>
          <t>2a · Match de productos</t>
        </is>
      </c>
      <c r="B6" s="6" t="inlineStr">
        <is>
          <t>deepseek-v4-flash</t>
        </is>
      </c>
      <c r="C6" s="14" t="n">
        <v>400</v>
      </c>
      <c r="D6" s="14" t="n">
        <v>230</v>
      </c>
      <c r="E6" s="55" t="n">
        <v>0.00021</v>
      </c>
      <c r="F6" s="8" t="inlineStr">
        <is>
          <t>Gratuito</t>
        </is>
      </c>
      <c r="G6" s="9" t="inlineStr">
        <is>
          <t>Búsqueda vectorial local; el LLM solo reordena.</t>
        </is>
      </c>
    </row>
    <row r="7">
      <c r="A7" s="6" t="inlineStr">
        <is>
          <t>2b · Mapa comercial</t>
        </is>
      </c>
      <c r="B7" s="6" t="inlineStr">
        <is>
          <t>— (sin LLM)</t>
        </is>
      </c>
      <c r="C7" s="14" t="n">
        <v>0</v>
      </c>
      <c r="D7" s="14" t="n">
        <v>0</v>
      </c>
      <c r="E7" s="55" t="n">
        <v>0</v>
      </c>
      <c r="F7" s="8" t="inlineStr">
        <is>
          <t>Gratuito</t>
        </is>
      </c>
      <c r="G7" s="9" t="inlineStr">
        <is>
          <t>Lee del índice y del catálogo comercial.</t>
        </is>
      </c>
    </row>
    <row r="8">
      <c r="A8" s="6" t="inlineStr">
        <is>
          <t>3 · Insight de mercado</t>
        </is>
      </c>
      <c r="B8" s="6" t="inlineStr">
        <is>
          <t>glm-4.7</t>
        </is>
      </c>
      <c r="C8" s="14" t="n">
        <v>860</v>
      </c>
      <c r="D8" s="14" t="n">
        <v>680</v>
      </c>
      <c r="E8" s="55" t="n">
        <v>0.0036</v>
      </c>
      <c r="F8" s="8" t="inlineStr">
        <is>
          <t>Gratuito</t>
        </is>
      </c>
      <c r="G8" s="9" t="inlineStr">
        <is>
          <t>Redacta a partir de datos ya verificados.</t>
        </is>
      </c>
    </row>
    <row r="9">
      <c r="A9" s="6" t="inlineStr">
        <is>
          <t>4 · Hipótesis de formulación</t>
        </is>
      </c>
      <c r="B9" s="6" t="inlineStr">
        <is>
          <t>glm-5.2</t>
        </is>
      </c>
      <c r="C9" s="14" t="n">
        <v>1200</v>
      </c>
      <c r="D9" s="14" t="n">
        <v>900</v>
      </c>
      <c r="E9" s="55" t="n">
        <v>0.01</v>
      </c>
      <c r="F9" s="8" t="inlineStr">
        <is>
          <t>Premium</t>
        </is>
      </c>
      <c r="G9" s="9" t="inlineStr">
        <is>
          <t>Detrás del paywall.</t>
        </is>
      </c>
    </row>
    <row r="10">
      <c r="A10" s="6" t="inlineStr">
        <is>
          <t>5 · Verificación regulatoria</t>
        </is>
      </c>
      <c r="B10" s="6" t="inlineStr">
        <is>
          <t>glm-5.2</t>
        </is>
      </c>
      <c r="C10" s="14" t="n">
        <v>1400</v>
      </c>
      <c r="D10" s="14" t="n">
        <v>900</v>
      </c>
      <c r="E10" s="55" t="n">
        <v>0.01</v>
      </c>
      <c r="F10" s="8" t="inlineStr">
        <is>
          <t>Premium</t>
        </is>
      </c>
      <c r="G10" s="9" t="inlineStr">
        <is>
          <t>Detrás del paywall.</t>
        </is>
      </c>
    </row>
    <row r="11">
      <c r="A11" s="6" t="inlineStr">
        <is>
          <t>Agente comercial (N3)</t>
        </is>
      </c>
      <c r="B11" s="6" t="inlineStr">
        <is>
          <t>glm-5.2 + Tavily</t>
        </is>
      </c>
      <c r="C11" s="14" t="n">
        <v>3000</v>
      </c>
      <c r="D11" s="14" t="n">
        <v>1200</v>
      </c>
      <c r="E11" s="55" t="n">
        <v>0.185</v>
      </c>
      <c r="F11" s="8" t="inlineStr">
        <is>
          <t>Premium</t>
        </is>
      </c>
      <c r="G11" s="9" t="inlineStr">
        <is>
          <t>Lo caro: búsqueda web + lectura + grounding check.</t>
        </is>
      </c>
    </row>
    <row r="12">
      <c r="A12" s="6" t="inlineStr">
        <is>
          <t>Análisis de aditivos (por aditivo)</t>
        </is>
      </c>
      <c r="B12" s="6" t="inlineStr">
        <is>
          <t>glm-5.2 + eCFR</t>
        </is>
      </c>
      <c r="C12" s="14" t="n">
        <v>2500</v>
      </c>
      <c r="D12" s="14" t="n">
        <v>800</v>
      </c>
      <c r="E12" s="55" t="n">
        <v>0.0125</v>
      </c>
      <c r="F12" s="8" t="inlineStr">
        <is>
          <t>Premium</t>
        </is>
      </c>
      <c r="G12" s="9" t="inlineStr">
        <is>
          <t>En caliente el caché lo deja en 0; ~4 aditivos por producto.</t>
        </is>
      </c>
    </row>
    <row r="13">
      <c r="A13" s="16" t="inlineStr">
        <is>
          <t>Run gratuito (etapas 1-3)</t>
        </is>
      </c>
      <c r="B13" s="38" t="inlineStr"/>
      <c r="C13" s="38" t="inlineStr"/>
      <c r="D13" s="38" t="inlineStr"/>
      <c r="E13" s="56">
        <f>SUMIF($F$5:$F$12,"Gratuito",$E$5:$E$12)</f>
        <v/>
      </c>
      <c r="F13" s="38" t="inlineStr"/>
      <c r="G13" s="38" t="inlineStr"/>
    </row>
    <row r="14">
      <c r="A14" s="16" t="inlineStr">
        <is>
          <t>Run premium completo (1-5 + agente)</t>
        </is>
      </c>
      <c r="B14" s="38" t="inlineStr"/>
      <c r="C14" s="38" t="inlineStr"/>
      <c r="D14" s="38" t="inlineStr"/>
      <c r="E14" s="56">
        <f>SUM($E$5:$E$12)-$E$12+$E$12*4</f>
        <v/>
      </c>
      <c r="F14" s="38" t="inlineStr"/>
      <c r="G14" s="38" t="inlineStr"/>
    </row>
    <row r="15">
      <c r="A15" s="16" t="inlineStr">
        <is>
          <t>Costo promedio ponderado (hoja Supuestos)</t>
        </is>
      </c>
      <c r="B15" s="38" t="inlineStr"/>
      <c r="C15" s="38" t="inlineStr"/>
      <c r="D15" s="38" t="inlineStr"/>
      <c r="E15" s="56">
        <f>Supuestos!$B$46</f>
        <v/>
      </c>
      <c r="F15" s="38" t="inlineStr"/>
      <c r="G15" s="38" t="inlineStr"/>
    </row>
    <row r="17" ht="20" customHeight="1">
      <c r="A17" s="3" t="inlineStr">
        <is>
          <t>PROYECCIÓN POR VOLUMEN</t>
        </is>
      </c>
      <c r="B17" s="4" t="n"/>
      <c r="C17" s="4" t="n"/>
      <c r="D17" s="4" t="n"/>
      <c r="E17" s="4" t="n"/>
      <c r="F17" s="4" t="n"/>
      <c r="G17" s="4" t="n"/>
    </row>
    <row r="18" ht="30" customHeight="1">
      <c r="A18" s="5" t="inlineStr">
        <is>
          <t>Consultas/mes</t>
        </is>
      </c>
      <c r="B18" s="5" t="inlineStr">
        <is>
          <t>Costo LLM/mes USD</t>
        </is>
      </c>
      <c r="C18" s="5" t="inlineStr">
        <is>
          <t>Costo LLM/mes PEN</t>
        </is>
      </c>
      <c r="D18" s="5" t="inlineStr">
        <is>
          <t>Costo anual USD</t>
        </is>
      </c>
      <c r="E18" s="5" t="inlineStr">
        <is>
          <t>% del OPEX fijo</t>
        </is>
      </c>
      <c r="F18" s="5" t="inlineStr">
        <is>
          <t>Ingreso equivalente*</t>
        </is>
      </c>
      <c r="G18" s="5" t="inlineStr">
        <is>
          <t>Margen sobre el variable</t>
        </is>
      </c>
    </row>
    <row r="19">
      <c r="A19" s="14" t="n">
        <v>100</v>
      </c>
      <c r="B19" s="20">
        <f>A19*Supuestos!$B$46</f>
        <v/>
      </c>
      <c r="C19" s="21">
        <f>B19*Supuestos!$B$5</f>
        <v/>
      </c>
      <c r="D19" s="10">
        <f>B19*12</f>
        <v/>
      </c>
      <c r="E19" s="12">
        <f>B19/Infraestructura!$D$20</f>
        <v/>
      </c>
      <c r="F19" s="10">
        <f>A19/Supuestos!$C$36*Supuestos!$B$36</f>
        <v/>
      </c>
      <c r="G19" s="12">
        <f>1-B19/F19</f>
        <v/>
      </c>
    </row>
    <row r="20">
      <c r="A20" s="14" t="n">
        <v>250</v>
      </c>
      <c r="B20" s="20">
        <f>A20*Supuestos!$B$46</f>
        <v/>
      </c>
      <c r="C20" s="21">
        <f>B20*Supuestos!$B$5</f>
        <v/>
      </c>
      <c r="D20" s="10">
        <f>B20*12</f>
        <v/>
      </c>
      <c r="E20" s="12">
        <f>B20/Infraestructura!$D$20</f>
        <v/>
      </c>
      <c r="F20" s="10">
        <f>A20/Supuestos!$C$36*Supuestos!$B$36</f>
        <v/>
      </c>
      <c r="G20" s="12">
        <f>1-B20/F20</f>
        <v/>
      </c>
    </row>
    <row r="21">
      <c r="A21" s="14" t="n">
        <v>500</v>
      </c>
      <c r="B21" s="20">
        <f>A21*Supuestos!$B$46</f>
        <v/>
      </c>
      <c r="C21" s="21">
        <f>B21*Supuestos!$B$5</f>
        <v/>
      </c>
      <c r="D21" s="10">
        <f>B21*12</f>
        <v/>
      </c>
      <c r="E21" s="12">
        <f>B21/Infraestructura!$D$20</f>
        <v/>
      </c>
      <c r="F21" s="10">
        <f>A21/Supuestos!$C$36*Supuestos!$B$36</f>
        <v/>
      </c>
      <c r="G21" s="12">
        <f>1-B21/F21</f>
        <v/>
      </c>
    </row>
    <row r="22">
      <c r="A22" s="14" t="n">
        <v>1000</v>
      </c>
      <c r="B22" s="20">
        <f>A22*Supuestos!$B$46</f>
        <v/>
      </c>
      <c r="C22" s="21">
        <f>B22*Supuestos!$B$5</f>
        <v/>
      </c>
      <c r="D22" s="10">
        <f>B22*12</f>
        <v/>
      </c>
      <c r="E22" s="12">
        <f>B22/Infraestructura!$D$20</f>
        <v/>
      </c>
      <c r="F22" s="10">
        <f>A22/Supuestos!$C$36*Supuestos!$B$36</f>
        <v/>
      </c>
      <c r="G22" s="12">
        <f>1-B22/F22</f>
        <v/>
      </c>
    </row>
    <row r="23">
      <c r="A23" s="14" t="n">
        <v>2500</v>
      </c>
      <c r="B23" s="20">
        <f>A23*Supuestos!$B$46</f>
        <v/>
      </c>
      <c r="C23" s="21">
        <f>B23*Supuestos!$B$5</f>
        <v/>
      </c>
      <c r="D23" s="10">
        <f>B23*12</f>
        <v/>
      </c>
      <c r="E23" s="12">
        <f>B23/Infraestructura!$D$20</f>
        <v/>
      </c>
      <c r="F23" s="10">
        <f>A23/Supuestos!$C$36*Supuestos!$B$36</f>
        <v/>
      </c>
      <c r="G23" s="12">
        <f>1-B23/F23</f>
        <v/>
      </c>
    </row>
    <row r="24">
      <c r="A24" s="14" t="n">
        <v>5000</v>
      </c>
      <c r="B24" s="20">
        <f>A24*Supuestos!$B$46</f>
        <v/>
      </c>
      <c r="C24" s="21">
        <f>B24*Supuestos!$B$5</f>
        <v/>
      </c>
      <c r="D24" s="10">
        <f>B24*12</f>
        <v/>
      </c>
      <c r="E24" s="12">
        <f>B24/Infraestructura!$D$20</f>
        <v/>
      </c>
      <c r="F24" s="10">
        <f>A24/Supuestos!$C$36*Supuestos!$B$36</f>
        <v/>
      </c>
      <c r="G24" s="12">
        <f>1-B24/F24</f>
        <v/>
      </c>
    </row>
    <row r="25">
      <c r="A25" s="14" t="n">
        <v>10000</v>
      </c>
      <c r="B25" s="20">
        <f>A25*Supuestos!$B$46</f>
        <v/>
      </c>
      <c r="C25" s="21">
        <f>B25*Supuestos!$B$5</f>
        <v/>
      </c>
      <c r="D25" s="10">
        <f>B25*12</f>
        <v/>
      </c>
      <c r="E25" s="12">
        <f>B25/Infraestructura!$D$20</f>
        <v/>
      </c>
      <c r="F25" s="10">
        <f>A25/Supuestos!$C$36*Supuestos!$B$36</f>
        <v/>
      </c>
      <c r="G25" s="12">
        <f>1-B25/F25</f>
        <v/>
      </c>
    </row>
    <row r="27">
      <c r="A27" s="26" t="inlineStr">
        <is>
          <t>* Ingreso si ese volumen se sirviera íntegramente con planes Avanzado. Sirve para ver que el costo variable nunca es el problema: el margen sobre el uso se mantiene por encima del 95 %.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9" customWidth="1" min="4" max="4"/>
    <col width="9" customWidth="1" min="5" max="5"/>
    <col width="11" customWidth="1" min="6" max="6"/>
    <col width="13" customWidth="1" min="7" max="7"/>
    <col width="12" customWidth="1" min="8" max="8"/>
    <col width="12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4" customHeight="1">
      <c r="A1" s="1" t="inlineStr">
        <is>
          <t>Proyección financiera a 36 meses</t>
        </is>
      </c>
    </row>
    <row r="2">
      <c r="A2" s="2" t="inlineStr">
        <is>
          <t>Tres escenarios de adopción sobre la misma curva base. El desarrollo ocupa los primeros meses.</t>
        </is>
      </c>
    </row>
    <row r="3">
      <c r="R3" s="26" t="inlineStr">
        <is>
          <t>Resultado solo de operación (sin desarrollo ni cobros de hito) — es lo que fija el punto de equilibrio</t>
        </is>
      </c>
    </row>
    <row r="4" ht="30" customHeight="1">
      <c r="A4" s="5" t="inlineStr">
        <is>
          <t>Mes</t>
        </is>
      </c>
      <c r="B4" s="5" t="inlineStr">
        <is>
          <t>Fase</t>
        </is>
      </c>
      <c r="C4" s="5" t="inlineStr">
        <is>
          <t>Básico</t>
        </is>
      </c>
      <c r="D4" s="5" t="inlineStr">
        <is>
          <t>Avanz.</t>
        </is>
      </c>
      <c r="E4" s="5" t="inlineStr">
        <is>
          <t>Instit.</t>
        </is>
      </c>
      <c r="F4" s="5" t="inlineStr">
        <is>
          <t>Consultas</t>
        </is>
      </c>
      <c r="G4" s="5" t="inlineStr">
        <is>
          <t>Ingresos</t>
        </is>
      </c>
      <c r="H4" s="5" t="inlineStr">
        <is>
          <t>Costo LLM</t>
        </is>
      </c>
      <c r="I4" s="5" t="inlineStr">
        <is>
          <t>OPEX fijo</t>
        </is>
      </c>
      <c r="J4" s="5" t="inlineStr">
        <is>
          <t>Desarrollo</t>
        </is>
      </c>
      <c r="K4" s="5" t="inlineStr">
        <is>
          <t>Cobros hito</t>
        </is>
      </c>
      <c r="L4" s="5" t="inlineStr">
        <is>
          <t>Resultado</t>
        </is>
      </c>
      <c r="M4" s="5" t="inlineStr">
        <is>
          <t>Acumulado</t>
        </is>
      </c>
      <c r="N4" s="5" t="inlineStr">
        <is>
          <t>Result. cons.</t>
        </is>
      </c>
      <c r="O4" s="5" t="inlineStr">
        <is>
          <t>Acum. cons.</t>
        </is>
      </c>
      <c r="P4" s="5" t="inlineStr">
        <is>
          <t>Result. opt.</t>
        </is>
      </c>
      <c r="Q4" s="5" t="inlineStr">
        <is>
          <t>Acum. opt.</t>
        </is>
      </c>
      <c r="R4" s="5" t="inlineStr">
        <is>
          <t>Oper. base</t>
        </is>
      </c>
      <c r="S4" s="5" t="inlineStr">
        <is>
          <t>Oper. cons.</t>
        </is>
      </c>
      <c r="T4" s="5" t="inlineStr">
        <is>
          <t>Oper. opt.</t>
        </is>
      </c>
    </row>
    <row r="5">
      <c r="A5" s="57" t="n">
        <v>1</v>
      </c>
      <c r="B5" s="38" t="inlineStr">
        <is>
          <t>Desarrollo</t>
        </is>
      </c>
      <c r="C5" s="58" t="n">
        <v>0</v>
      </c>
      <c r="D5" s="58" t="n">
        <v>0</v>
      </c>
      <c r="E5" s="58" t="n">
        <v>0</v>
      </c>
      <c r="F5" s="58">
        <f>C5*Supuestos!$C$35+D5*Supuestos!$C$36+E5*Supuestos!$C$37</f>
        <v/>
      </c>
      <c r="G5" s="59">
        <f>(C5*Supuestos!$B$35+D5*Supuestos!$B$36+E5*Supuestos!$B$37)*Supuestos!$B$52</f>
        <v/>
      </c>
      <c r="H5" s="59">
        <f>F5*Supuestos!$B$46*Supuestos!$B$52</f>
        <v/>
      </c>
      <c r="I5" s="59">
        <f>IF(A5&lt;=3,0,Infraestructura!$D$20)</f>
        <v/>
      </c>
      <c r="J5" s="59">
        <f>-Costo_Desarrollo!$D$23*0.35</f>
        <v/>
      </c>
      <c r="K5" s="59">
        <f>IF(Supuestos!$B$10=2,Costo_Desarrollo!$G$23*0.3,0)</f>
        <v/>
      </c>
      <c r="L5" s="59">
        <f>G5-H5-I5+J5+K5</f>
        <v/>
      </c>
      <c r="M5" s="59">
        <f>L5</f>
        <v/>
      </c>
      <c r="N5" s="59">
        <f>G5/Supuestos!$B$52*Supuestos!$B$51-F5*Supuestos!$B$46*Supuestos!$B$51-I5+J5+K5</f>
        <v/>
      </c>
      <c r="O5" s="59">
        <f>N5</f>
        <v/>
      </c>
      <c r="P5" s="59">
        <f>G5/Supuestos!$B$52*Supuestos!$B$53-F5*Supuestos!$B$46*Supuestos!$B$53-I5+J5+K5</f>
        <v/>
      </c>
      <c r="Q5" s="59">
        <f>P5</f>
        <v/>
      </c>
      <c r="R5" s="59">
        <f>G5-H5-I5</f>
        <v/>
      </c>
      <c r="S5" s="59">
        <f>G5/Supuestos!$B$52*Supuestos!$B$51-F5*Supuestos!$B$46*Supuestos!$B$51-I5</f>
        <v/>
      </c>
      <c r="T5" s="59">
        <f>G5/Supuestos!$B$52*Supuestos!$B$53-F5*Supuestos!$B$46*Supuestos!$B$53-I5</f>
        <v/>
      </c>
      <c r="U5" s="60">
        <f>IF(AND(A5&gt;4,S5&gt;0),1,0)</f>
        <v/>
      </c>
      <c r="V5" s="60">
        <f>IF(AND(A5&gt;4,R5&gt;0),1,0)</f>
        <v/>
      </c>
      <c r="W5" s="60">
        <f>IF(AND(A5&gt;4,T5&gt;0),1,0)</f>
        <v/>
      </c>
      <c r="X5" s="60">
        <f>IF(AND(A5&gt;4,O5&gt;0),1,0)</f>
        <v/>
      </c>
      <c r="Y5" s="60">
        <f>IF(AND(A5&gt;4,M5&gt;0),1,0)</f>
        <v/>
      </c>
      <c r="Z5" s="60">
        <f>IF(AND(A5&gt;4,Q5&gt;0),1,0)</f>
        <v/>
      </c>
    </row>
    <row r="6">
      <c r="A6" s="57" t="n">
        <v>2</v>
      </c>
      <c r="B6" s="38" t="inlineStr">
        <is>
          <t>Desarrollo</t>
        </is>
      </c>
      <c r="C6" s="58" t="n">
        <v>0</v>
      </c>
      <c r="D6" s="58" t="n">
        <v>0</v>
      </c>
      <c r="E6" s="58" t="n">
        <v>0</v>
      </c>
      <c r="F6" s="58">
        <f>C6*Supuestos!$C$35+D6*Supuestos!$C$36+E6*Supuestos!$C$37</f>
        <v/>
      </c>
      <c r="G6" s="59">
        <f>(C6*Supuestos!$B$35+D6*Supuestos!$B$36+E6*Supuestos!$B$37)*Supuestos!$B$52</f>
        <v/>
      </c>
      <c r="H6" s="59">
        <f>F6*Supuestos!$B$46*Supuestos!$B$52</f>
        <v/>
      </c>
      <c r="I6" s="59">
        <f>IF(A6&lt;=3,0,Infraestructura!$D$20)</f>
        <v/>
      </c>
      <c r="J6" s="59">
        <f>-Costo_Desarrollo!$D$23*0.35</f>
        <v/>
      </c>
      <c r="K6" s="59">
        <f>IF(Supuestos!$B$10=2,Costo_Desarrollo!$G$23*0.25,0)</f>
        <v/>
      </c>
      <c r="L6" s="59">
        <f>G6-H6-I6+J6+K6</f>
        <v/>
      </c>
      <c r="M6" s="59">
        <f>M5+L6</f>
        <v/>
      </c>
      <c r="N6" s="59">
        <f>G6/Supuestos!$B$52*Supuestos!$B$51-F6*Supuestos!$B$46*Supuestos!$B$51-I6+J6+K6</f>
        <v/>
      </c>
      <c r="O6" s="59">
        <f>O5+N6</f>
        <v/>
      </c>
      <c r="P6" s="59">
        <f>G6/Supuestos!$B$52*Supuestos!$B$53-F6*Supuestos!$B$46*Supuestos!$B$53-I6+J6+K6</f>
        <v/>
      </c>
      <c r="Q6" s="59">
        <f>Q5+P6</f>
        <v/>
      </c>
      <c r="R6" s="59">
        <f>G6-H6-I6</f>
        <v/>
      </c>
      <c r="S6" s="59">
        <f>G6/Supuestos!$B$52*Supuestos!$B$51-F6*Supuestos!$B$46*Supuestos!$B$51-I6</f>
        <v/>
      </c>
      <c r="T6" s="59">
        <f>G6/Supuestos!$B$52*Supuestos!$B$53-F6*Supuestos!$B$46*Supuestos!$B$53-I6</f>
        <v/>
      </c>
      <c r="U6" s="60">
        <f>IF(AND(A6&gt;4,S6&gt;0),1,0)</f>
        <v/>
      </c>
      <c r="V6" s="60">
        <f>IF(AND(A6&gt;4,R6&gt;0),1,0)</f>
        <v/>
      </c>
      <c r="W6" s="60">
        <f>IF(AND(A6&gt;4,T6&gt;0),1,0)</f>
        <v/>
      </c>
      <c r="X6" s="60">
        <f>IF(AND(A6&gt;4,O6&gt;0),1,0)</f>
        <v/>
      </c>
      <c r="Y6" s="60">
        <f>IF(AND(A6&gt;4,M6&gt;0),1,0)</f>
        <v/>
      </c>
      <c r="Z6" s="60">
        <f>IF(AND(A6&gt;4,Q6&gt;0),1,0)</f>
        <v/>
      </c>
    </row>
    <row r="7">
      <c r="A7" s="57" t="n">
        <v>3</v>
      </c>
      <c r="B7" s="38" t="inlineStr">
        <is>
          <t>Desarrollo</t>
        </is>
      </c>
      <c r="C7" s="58" t="n">
        <v>0</v>
      </c>
      <c r="D7" s="58" t="n">
        <v>0</v>
      </c>
      <c r="E7" s="58" t="n">
        <v>0</v>
      </c>
      <c r="F7" s="58">
        <f>C7*Supuestos!$C$35+D7*Supuestos!$C$36+E7*Supuestos!$C$37</f>
        <v/>
      </c>
      <c r="G7" s="59">
        <f>(C7*Supuestos!$B$35+D7*Supuestos!$B$36+E7*Supuestos!$B$37)*Supuestos!$B$52</f>
        <v/>
      </c>
      <c r="H7" s="59">
        <f>F7*Supuestos!$B$46*Supuestos!$B$52</f>
        <v/>
      </c>
      <c r="I7" s="59">
        <f>IF(A7&lt;=3,0,Infraestructura!$D$20)</f>
        <v/>
      </c>
      <c r="J7" s="59">
        <f>-Costo_Desarrollo!$D$23*0.3</f>
        <v/>
      </c>
      <c r="K7" s="59">
        <f>IF(Supuestos!$B$10=2,Costo_Desarrollo!$G$23*0.25,0)</f>
        <v/>
      </c>
      <c r="L7" s="59">
        <f>G7-H7-I7+J7+K7</f>
        <v/>
      </c>
      <c r="M7" s="59">
        <f>M6+L7</f>
        <v/>
      </c>
      <c r="N7" s="59">
        <f>G7/Supuestos!$B$52*Supuestos!$B$51-F7*Supuestos!$B$46*Supuestos!$B$51-I7+J7+K7</f>
        <v/>
      </c>
      <c r="O7" s="59">
        <f>O6+N7</f>
        <v/>
      </c>
      <c r="P7" s="59">
        <f>G7/Supuestos!$B$52*Supuestos!$B$53-F7*Supuestos!$B$46*Supuestos!$B$53-I7+J7+K7</f>
        <v/>
      </c>
      <c r="Q7" s="59">
        <f>Q6+P7</f>
        <v/>
      </c>
      <c r="R7" s="59">
        <f>G7-H7-I7</f>
        <v/>
      </c>
      <c r="S7" s="59">
        <f>G7/Supuestos!$B$52*Supuestos!$B$51-F7*Supuestos!$B$46*Supuestos!$B$51-I7</f>
        <v/>
      </c>
      <c r="T7" s="59">
        <f>G7/Supuestos!$B$52*Supuestos!$B$53-F7*Supuestos!$B$46*Supuestos!$B$53-I7</f>
        <v/>
      </c>
      <c r="U7" s="60">
        <f>IF(AND(A7&gt;4,S7&gt;0),1,0)</f>
        <v/>
      </c>
      <c r="V7" s="60">
        <f>IF(AND(A7&gt;4,R7&gt;0),1,0)</f>
        <v/>
      </c>
      <c r="W7" s="60">
        <f>IF(AND(A7&gt;4,T7&gt;0),1,0)</f>
        <v/>
      </c>
      <c r="X7" s="60">
        <f>IF(AND(A7&gt;4,O7&gt;0),1,0)</f>
        <v/>
      </c>
      <c r="Y7" s="60">
        <f>IF(AND(A7&gt;4,M7&gt;0),1,0)</f>
        <v/>
      </c>
      <c r="Z7" s="60">
        <f>IF(AND(A7&gt;4,Q7&gt;0),1,0)</f>
        <v/>
      </c>
    </row>
    <row r="8">
      <c r="A8" s="57" t="n">
        <v>4</v>
      </c>
      <c r="B8" s="38" t="inlineStr">
        <is>
          <t>Go-live</t>
        </is>
      </c>
      <c r="C8" s="58" t="n">
        <v>5</v>
      </c>
      <c r="D8" s="58" t="n">
        <v>2</v>
      </c>
      <c r="E8" s="58" t="n">
        <v>1</v>
      </c>
      <c r="F8" s="58">
        <f>C8*Supuestos!$C$35+D8*Supuestos!$C$36+E8*Supuestos!$C$37</f>
        <v/>
      </c>
      <c r="G8" s="59">
        <f>(C8*Supuestos!$B$35+D8*Supuestos!$B$36+E8*Supuestos!$B$37)*Supuestos!$B$52</f>
        <v/>
      </c>
      <c r="H8" s="59">
        <f>F8*Supuestos!$B$46*Supuestos!$B$52</f>
        <v/>
      </c>
      <c r="I8" s="59">
        <f>IF(A8&lt;=3,0,Infraestructura!$D$20)</f>
        <v/>
      </c>
      <c r="J8" s="59">
        <f>-Costo_Desarrollo!$D$23*0</f>
        <v/>
      </c>
      <c r="K8" s="59">
        <f>IF(Supuestos!$B$10=2,Costo_Desarrollo!$G$23*0.2,0)</f>
        <v/>
      </c>
      <c r="L8" s="59">
        <f>G8-H8-I8+J8+K8</f>
        <v/>
      </c>
      <c r="M8" s="59">
        <f>M7+L8</f>
        <v/>
      </c>
      <c r="N8" s="59">
        <f>G8/Supuestos!$B$52*Supuestos!$B$51-F8*Supuestos!$B$46*Supuestos!$B$51-I8+J8+K8</f>
        <v/>
      </c>
      <c r="O8" s="59">
        <f>O7+N8</f>
        <v/>
      </c>
      <c r="P8" s="59">
        <f>G8/Supuestos!$B$52*Supuestos!$B$53-F8*Supuestos!$B$46*Supuestos!$B$53-I8+J8+K8</f>
        <v/>
      </c>
      <c r="Q8" s="59">
        <f>Q7+P8</f>
        <v/>
      </c>
      <c r="R8" s="59">
        <f>G8-H8-I8</f>
        <v/>
      </c>
      <c r="S8" s="59">
        <f>G8/Supuestos!$B$52*Supuestos!$B$51-F8*Supuestos!$B$46*Supuestos!$B$51-I8</f>
        <v/>
      </c>
      <c r="T8" s="59">
        <f>G8/Supuestos!$B$52*Supuestos!$B$53-F8*Supuestos!$B$46*Supuestos!$B$53-I8</f>
        <v/>
      </c>
      <c r="U8" s="60">
        <f>IF(AND(A8&gt;4,S8&gt;0),1,0)</f>
        <v/>
      </c>
      <c r="V8" s="60">
        <f>IF(AND(A8&gt;4,R8&gt;0),1,0)</f>
        <v/>
      </c>
      <c r="W8" s="60">
        <f>IF(AND(A8&gt;4,T8&gt;0),1,0)</f>
        <v/>
      </c>
      <c r="X8" s="60">
        <f>IF(AND(A8&gt;4,O8&gt;0),1,0)</f>
        <v/>
      </c>
      <c r="Y8" s="60">
        <f>IF(AND(A8&gt;4,M8&gt;0),1,0)</f>
        <v/>
      </c>
      <c r="Z8" s="60">
        <f>IF(AND(A8&gt;4,Q8&gt;0),1,0)</f>
        <v/>
      </c>
    </row>
    <row r="9">
      <c r="A9" s="61" t="n">
        <v>5</v>
      </c>
      <c r="B9" s="6" t="inlineStr">
        <is>
          <t>Operación</t>
        </is>
      </c>
      <c r="C9" s="14" t="n">
        <v>7</v>
      </c>
      <c r="D9" s="14" t="n">
        <v>3</v>
      </c>
      <c r="E9" s="14" t="n">
        <v>1</v>
      </c>
      <c r="F9" s="14">
        <f>C9*Supuestos!$C$35+D9*Supuestos!$C$36+E9*Supuestos!$C$37</f>
        <v/>
      </c>
      <c r="G9" s="10">
        <f>(C9*Supuestos!$B$35+D9*Supuestos!$B$36+E9*Supuestos!$B$37)*Supuestos!$B$52</f>
        <v/>
      </c>
      <c r="H9" s="10">
        <f>F9*Supuestos!$B$46*Supuestos!$B$52</f>
        <v/>
      </c>
      <c r="I9" s="10">
        <f>IF(A9&lt;=3,0,Infraestructura!$D$20)</f>
        <v/>
      </c>
      <c r="J9" s="10">
        <f>-Costo_Desarrollo!$D$23*0</f>
        <v/>
      </c>
      <c r="K9" s="10">
        <f>IF(Supuestos!$B$10=2,Costo_Desarrollo!$G$23*0,0)</f>
        <v/>
      </c>
      <c r="L9" s="10">
        <f>G9-H9-I9+J9+K9</f>
        <v/>
      </c>
      <c r="M9" s="10">
        <f>M8+L9</f>
        <v/>
      </c>
      <c r="N9" s="10">
        <f>G9/Supuestos!$B$52*Supuestos!$B$51-F9*Supuestos!$B$46*Supuestos!$B$51-I9+J9+K9</f>
        <v/>
      </c>
      <c r="O9" s="10">
        <f>O8+N9</f>
        <v/>
      </c>
      <c r="P9" s="10">
        <f>G9/Supuestos!$B$52*Supuestos!$B$53-F9*Supuestos!$B$46*Supuestos!$B$53-I9+J9+K9</f>
        <v/>
      </c>
      <c r="Q9" s="10">
        <f>Q8+P9</f>
        <v/>
      </c>
      <c r="R9" s="10">
        <f>G9-H9-I9</f>
        <v/>
      </c>
      <c r="S9" s="10">
        <f>G9/Supuestos!$B$52*Supuestos!$B$51-F9*Supuestos!$B$46*Supuestos!$B$51-I9</f>
        <v/>
      </c>
      <c r="T9" s="10">
        <f>G9/Supuestos!$B$52*Supuestos!$B$53-F9*Supuestos!$B$46*Supuestos!$B$53-I9</f>
        <v/>
      </c>
      <c r="U9" s="60">
        <f>IF(AND(A9&gt;4,S9&gt;0),1,0)</f>
        <v/>
      </c>
      <c r="V9" s="60">
        <f>IF(AND(A9&gt;4,R9&gt;0),1,0)</f>
        <v/>
      </c>
      <c r="W9" s="60">
        <f>IF(AND(A9&gt;4,T9&gt;0),1,0)</f>
        <v/>
      </c>
      <c r="X9" s="60">
        <f>IF(AND(A9&gt;4,O9&gt;0),1,0)</f>
        <v/>
      </c>
      <c r="Y9" s="60">
        <f>IF(AND(A9&gt;4,M9&gt;0),1,0)</f>
        <v/>
      </c>
      <c r="Z9" s="60">
        <f>IF(AND(A9&gt;4,Q9&gt;0),1,0)</f>
        <v/>
      </c>
    </row>
    <row r="10">
      <c r="A10" s="61" t="n">
        <v>6</v>
      </c>
      <c r="B10" s="6" t="inlineStr">
        <is>
          <t>Operación</t>
        </is>
      </c>
      <c r="C10" s="14" t="n">
        <v>10</v>
      </c>
      <c r="D10" s="14" t="n">
        <v>4</v>
      </c>
      <c r="E10" s="14" t="n">
        <v>1</v>
      </c>
      <c r="F10" s="14">
        <f>C10*Supuestos!$C$35+D10*Supuestos!$C$36+E10*Supuestos!$C$37</f>
        <v/>
      </c>
      <c r="G10" s="10">
        <f>(C10*Supuestos!$B$35+D10*Supuestos!$B$36+E10*Supuestos!$B$37)*Supuestos!$B$52</f>
        <v/>
      </c>
      <c r="H10" s="10">
        <f>F10*Supuestos!$B$46*Supuestos!$B$52</f>
        <v/>
      </c>
      <c r="I10" s="10">
        <f>IF(A10&lt;=3,0,Infraestructura!$D$20)</f>
        <v/>
      </c>
      <c r="J10" s="10">
        <f>-Costo_Desarrollo!$D$23*0</f>
        <v/>
      </c>
      <c r="K10" s="10">
        <f>IF(Supuestos!$B$10=2,Costo_Desarrollo!$G$23*0,0)</f>
        <v/>
      </c>
      <c r="L10" s="10">
        <f>G10-H10-I10+J10+K10</f>
        <v/>
      </c>
      <c r="M10" s="10">
        <f>M9+L10</f>
        <v/>
      </c>
      <c r="N10" s="10">
        <f>G10/Supuestos!$B$52*Supuestos!$B$51-F10*Supuestos!$B$46*Supuestos!$B$51-I10+J10+K10</f>
        <v/>
      </c>
      <c r="O10" s="10">
        <f>O9+N10</f>
        <v/>
      </c>
      <c r="P10" s="10">
        <f>G10/Supuestos!$B$52*Supuestos!$B$53-F10*Supuestos!$B$46*Supuestos!$B$53-I10+J10+K10</f>
        <v/>
      </c>
      <c r="Q10" s="10">
        <f>Q9+P10</f>
        <v/>
      </c>
      <c r="R10" s="10">
        <f>G10-H10-I10</f>
        <v/>
      </c>
      <c r="S10" s="10">
        <f>G10/Supuestos!$B$52*Supuestos!$B$51-F10*Supuestos!$B$46*Supuestos!$B$51-I10</f>
        <v/>
      </c>
      <c r="T10" s="10">
        <f>G10/Supuestos!$B$52*Supuestos!$B$53-F10*Supuestos!$B$46*Supuestos!$B$53-I10</f>
        <v/>
      </c>
      <c r="U10" s="60">
        <f>IF(AND(A10&gt;4,S10&gt;0),1,0)</f>
        <v/>
      </c>
      <c r="V10" s="60">
        <f>IF(AND(A10&gt;4,R10&gt;0),1,0)</f>
        <v/>
      </c>
      <c r="W10" s="60">
        <f>IF(AND(A10&gt;4,T10&gt;0),1,0)</f>
        <v/>
      </c>
      <c r="X10" s="60">
        <f>IF(AND(A10&gt;4,O10&gt;0),1,0)</f>
        <v/>
      </c>
      <c r="Y10" s="60">
        <f>IF(AND(A10&gt;4,M10&gt;0),1,0)</f>
        <v/>
      </c>
      <c r="Z10" s="60">
        <f>IF(AND(A10&gt;4,Q10&gt;0),1,0)</f>
        <v/>
      </c>
    </row>
    <row r="11">
      <c r="A11" s="61" t="n">
        <v>7</v>
      </c>
      <c r="B11" s="6" t="inlineStr">
        <is>
          <t>Operación</t>
        </is>
      </c>
      <c r="C11" s="14" t="n">
        <v>12</v>
      </c>
      <c r="D11" s="14" t="n">
        <v>5</v>
      </c>
      <c r="E11" s="14" t="n">
        <v>1</v>
      </c>
      <c r="F11" s="14">
        <f>C11*Supuestos!$C$35+D11*Supuestos!$C$36+E11*Supuestos!$C$37</f>
        <v/>
      </c>
      <c r="G11" s="10">
        <f>(C11*Supuestos!$B$35+D11*Supuestos!$B$36+E11*Supuestos!$B$37)*Supuestos!$B$52</f>
        <v/>
      </c>
      <c r="H11" s="10">
        <f>F11*Supuestos!$B$46*Supuestos!$B$52</f>
        <v/>
      </c>
      <c r="I11" s="10">
        <f>IF(A11&lt;=3,0,Infraestructura!$D$20)</f>
        <v/>
      </c>
      <c r="J11" s="10">
        <f>-Costo_Desarrollo!$D$23*0</f>
        <v/>
      </c>
      <c r="K11" s="10">
        <f>IF(Supuestos!$B$10=2,Costo_Desarrollo!$G$23*0,0)</f>
        <v/>
      </c>
      <c r="L11" s="10">
        <f>G11-H11-I11+J11+K11</f>
        <v/>
      </c>
      <c r="M11" s="10">
        <f>M10+L11</f>
        <v/>
      </c>
      <c r="N11" s="10">
        <f>G11/Supuestos!$B$52*Supuestos!$B$51-F11*Supuestos!$B$46*Supuestos!$B$51-I11+J11+K11</f>
        <v/>
      </c>
      <c r="O11" s="10">
        <f>O10+N11</f>
        <v/>
      </c>
      <c r="P11" s="10">
        <f>G11/Supuestos!$B$52*Supuestos!$B$53-F11*Supuestos!$B$46*Supuestos!$B$53-I11+J11+K11</f>
        <v/>
      </c>
      <c r="Q11" s="10">
        <f>Q10+P11</f>
        <v/>
      </c>
      <c r="R11" s="10">
        <f>G11-H11-I11</f>
        <v/>
      </c>
      <c r="S11" s="10">
        <f>G11/Supuestos!$B$52*Supuestos!$B$51-F11*Supuestos!$B$46*Supuestos!$B$51-I11</f>
        <v/>
      </c>
      <c r="T11" s="10">
        <f>G11/Supuestos!$B$52*Supuestos!$B$53-F11*Supuestos!$B$46*Supuestos!$B$53-I11</f>
        <v/>
      </c>
      <c r="U11" s="60">
        <f>IF(AND(A11&gt;4,S11&gt;0),1,0)</f>
        <v/>
      </c>
      <c r="V11" s="60">
        <f>IF(AND(A11&gt;4,R11&gt;0),1,0)</f>
        <v/>
      </c>
      <c r="W11" s="60">
        <f>IF(AND(A11&gt;4,T11&gt;0),1,0)</f>
        <v/>
      </c>
      <c r="X11" s="60">
        <f>IF(AND(A11&gt;4,O11&gt;0),1,0)</f>
        <v/>
      </c>
      <c r="Y11" s="60">
        <f>IF(AND(A11&gt;4,M11&gt;0),1,0)</f>
        <v/>
      </c>
      <c r="Z11" s="60">
        <f>IF(AND(A11&gt;4,Q11&gt;0),1,0)</f>
        <v/>
      </c>
    </row>
    <row r="12">
      <c r="A12" s="61" t="n">
        <v>8</v>
      </c>
      <c r="B12" s="6" t="inlineStr">
        <is>
          <t>Operación</t>
        </is>
      </c>
      <c r="C12" s="14" t="n">
        <v>15</v>
      </c>
      <c r="D12" s="14" t="n">
        <v>6</v>
      </c>
      <c r="E12" s="14" t="n">
        <v>1</v>
      </c>
      <c r="F12" s="14">
        <f>C12*Supuestos!$C$35+D12*Supuestos!$C$36+E12*Supuestos!$C$37</f>
        <v/>
      </c>
      <c r="G12" s="10">
        <f>(C12*Supuestos!$B$35+D12*Supuestos!$B$36+E12*Supuestos!$B$37)*Supuestos!$B$52</f>
        <v/>
      </c>
      <c r="H12" s="10">
        <f>F12*Supuestos!$B$46*Supuestos!$B$52</f>
        <v/>
      </c>
      <c r="I12" s="10">
        <f>IF(A12&lt;=3,0,Infraestructura!$D$20)</f>
        <v/>
      </c>
      <c r="J12" s="10">
        <f>-Costo_Desarrollo!$D$23*0</f>
        <v/>
      </c>
      <c r="K12" s="10">
        <f>IF(Supuestos!$B$10=2,Costo_Desarrollo!$G$23*0,0)</f>
        <v/>
      </c>
      <c r="L12" s="10">
        <f>G12-H12-I12+J12+K12</f>
        <v/>
      </c>
      <c r="M12" s="10">
        <f>M11+L12</f>
        <v/>
      </c>
      <c r="N12" s="10">
        <f>G12/Supuestos!$B$52*Supuestos!$B$51-F12*Supuestos!$B$46*Supuestos!$B$51-I12+J12+K12</f>
        <v/>
      </c>
      <c r="O12" s="10">
        <f>O11+N12</f>
        <v/>
      </c>
      <c r="P12" s="10">
        <f>G12/Supuestos!$B$52*Supuestos!$B$53-F12*Supuestos!$B$46*Supuestos!$B$53-I12+J12+K12</f>
        <v/>
      </c>
      <c r="Q12" s="10">
        <f>Q11+P12</f>
        <v/>
      </c>
      <c r="R12" s="10">
        <f>G12-H12-I12</f>
        <v/>
      </c>
      <c r="S12" s="10">
        <f>G12/Supuestos!$B$52*Supuestos!$B$51-F12*Supuestos!$B$46*Supuestos!$B$51-I12</f>
        <v/>
      </c>
      <c r="T12" s="10">
        <f>G12/Supuestos!$B$52*Supuestos!$B$53-F12*Supuestos!$B$46*Supuestos!$B$53-I12</f>
        <v/>
      </c>
      <c r="U12" s="60">
        <f>IF(AND(A12&gt;4,S12&gt;0),1,0)</f>
        <v/>
      </c>
      <c r="V12" s="60">
        <f>IF(AND(A12&gt;4,R12&gt;0),1,0)</f>
        <v/>
      </c>
      <c r="W12" s="60">
        <f>IF(AND(A12&gt;4,T12&gt;0),1,0)</f>
        <v/>
      </c>
      <c r="X12" s="60">
        <f>IF(AND(A12&gt;4,O12&gt;0),1,0)</f>
        <v/>
      </c>
      <c r="Y12" s="60">
        <f>IF(AND(A12&gt;4,M12&gt;0),1,0)</f>
        <v/>
      </c>
      <c r="Z12" s="60">
        <f>IF(AND(A12&gt;4,Q12&gt;0),1,0)</f>
        <v/>
      </c>
    </row>
    <row r="13">
      <c r="A13" s="61" t="n">
        <v>9</v>
      </c>
      <c r="B13" s="6" t="inlineStr">
        <is>
          <t>Operación</t>
        </is>
      </c>
      <c r="C13" s="14" t="n">
        <v>17</v>
      </c>
      <c r="D13" s="14" t="n">
        <v>7</v>
      </c>
      <c r="E13" s="14" t="n">
        <v>1</v>
      </c>
      <c r="F13" s="14">
        <f>C13*Supuestos!$C$35+D13*Supuestos!$C$36+E13*Supuestos!$C$37</f>
        <v/>
      </c>
      <c r="G13" s="10">
        <f>(C13*Supuestos!$B$35+D13*Supuestos!$B$36+E13*Supuestos!$B$37)*Supuestos!$B$52</f>
        <v/>
      </c>
      <c r="H13" s="10">
        <f>F13*Supuestos!$B$46*Supuestos!$B$52</f>
        <v/>
      </c>
      <c r="I13" s="10">
        <f>IF(A13&lt;=3,0,Infraestructura!$D$20)</f>
        <v/>
      </c>
      <c r="J13" s="10">
        <f>-Costo_Desarrollo!$D$23*0</f>
        <v/>
      </c>
      <c r="K13" s="10">
        <f>IF(Supuestos!$B$10=2,Costo_Desarrollo!$G$23*0,0)</f>
        <v/>
      </c>
      <c r="L13" s="10">
        <f>G13-H13-I13+J13+K13</f>
        <v/>
      </c>
      <c r="M13" s="10">
        <f>M12+L13</f>
        <v/>
      </c>
      <c r="N13" s="10">
        <f>G13/Supuestos!$B$52*Supuestos!$B$51-F13*Supuestos!$B$46*Supuestos!$B$51-I13+J13+K13</f>
        <v/>
      </c>
      <c r="O13" s="10">
        <f>O12+N13</f>
        <v/>
      </c>
      <c r="P13" s="10">
        <f>G13/Supuestos!$B$52*Supuestos!$B$53-F13*Supuestos!$B$46*Supuestos!$B$53-I13+J13+K13</f>
        <v/>
      </c>
      <c r="Q13" s="10">
        <f>Q12+P13</f>
        <v/>
      </c>
      <c r="R13" s="10">
        <f>G13-H13-I13</f>
        <v/>
      </c>
      <c r="S13" s="10">
        <f>G13/Supuestos!$B$52*Supuestos!$B$51-F13*Supuestos!$B$46*Supuestos!$B$51-I13</f>
        <v/>
      </c>
      <c r="T13" s="10">
        <f>G13/Supuestos!$B$52*Supuestos!$B$53-F13*Supuestos!$B$46*Supuestos!$B$53-I13</f>
        <v/>
      </c>
      <c r="U13" s="60">
        <f>IF(AND(A13&gt;4,S13&gt;0),1,0)</f>
        <v/>
      </c>
      <c r="V13" s="60">
        <f>IF(AND(A13&gt;4,R13&gt;0),1,0)</f>
        <v/>
      </c>
      <c r="W13" s="60">
        <f>IF(AND(A13&gt;4,T13&gt;0),1,0)</f>
        <v/>
      </c>
      <c r="X13" s="60">
        <f>IF(AND(A13&gt;4,O13&gt;0),1,0)</f>
        <v/>
      </c>
      <c r="Y13" s="60">
        <f>IF(AND(A13&gt;4,M13&gt;0),1,0)</f>
        <v/>
      </c>
      <c r="Z13" s="60">
        <f>IF(AND(A13&gt;4,Q13&gt;0),1,0)</f>
        <v/>
      </c>
    </row>
    <row r="14">
      <c r="A14" s="61" t="n">
        <v>10</v>
      </c>
      <c r="B14" s="6" t="inlineStr">
        <is>
          <t>Operación</t>
        </is>
      </c>
      <c r="C14" s="14" t="n">
        <v>19</v>
      </c>
      <c r="D14" s="14" t="n">
        <v>8</v>
      </c>
      <c r="E14" s="14" t="n">
        <v>1</v>
      </c>
      <c r="F14" s="14">
        <f>C14*Supuestos!$C$35+D14*Supuestos!$C$36+E14*Supuestos!$C$37</f>
        <v/>
      </c>
      <c r="G14" s="10">
        <f>(C14*Supuestos!$B$35+D14*Supuestos!$B$36+E14*Supuestos!$B$37)*Supuestos!$B$52</f>
        <v/>
      </c>
      <c r="H14" s="10">
        <f>F14*Supuestos!$B$46*Supuestos!$B$52</f>
        <v/>
      </c>
      <c r="I14" s="10">
        <f>IF(A14&lt;=3,0,Infraestructura!$D$20)</f>
        <v/>
      </c>
      <c r="J14" s="10">
        <f>-Costo_Desarrollo!$D$23*0</f>
        <v/>
      </c>
      <c r="K14" s="10">
        <f>IF(Supuestos!$B$10=2,Costo_Desarrollo!$G$23*0,0)</f>
        <v/>
      </c>
      <c r="L14" s="10">
        <f>G14-H14-I14+J14+K14</f>
        <v/>
      </c>
      <c r="M14" s="10">
        <f>M13+L14</f>
        <v/>
      </c>
      <c r="N14" s="10">
        <f>G14/Supuestos!$B$52*Supuestos!$B$51-F14*Supuestos!$B$46*Supuestos!$B$51-I14+J14+K14</f>
        <v/>
      </c>
      <c r="O14" s="10">
        <f>O13+N14</f>
        <v/>
      </c>
      <c r="P14" s="10">
        <f>G14/Supuestos!$B$52*Supuestos!$B$53-F14*Supuestos!$B$46*Supuestos!$B$53-I14+J14+K14</f>
        <v/>
      </c>
      <c r="Q14" s="10">
        <f>Q13+P14</f>
        <v/>
      </c>
      <c r="R14" s="10">
        <f>G14-H14-I14</f>
        <v/>
      </c>
      <c r="S14" s="10">
        <f>G14/Supuestos!$B$52*Supuestos!$B$51-F14*Supuestos!$B$46*Supuestos!$B$51-I14</f>
        <v/>
      </c>
      <c r="T14" s="10">
        <f>G14/Supuestos!$B$52*Supuestos!$B$53-F14*Supuestos!$B$46*Supuestos!$B$53-I14</f>
        <v/>
      </c>
      <c r="U14" s="60">
        <f>IF(AND(A14&gt;4,S14&gt;0),1,0)</f>
        <v/>
      </c>
      <c r="V14" s="60">
        <f>IF(AND(A14&gt;4,R14&gt;0),1,0)</f>
        <v/>
      </c>
      <c r="W14" s="60">
        <f>IF(AND(A14&gt;4,T14&gt;0),1,0)</f>
        <v/>
      </c>
      <c r="X14" s="60">
        <f>IF(AND(A14&gt;4,O14&gt;0),1,0)</f>
        <v/>
      </c>
      <c r="Y14" s="60">
        <f>IF(AND(A14&gt;4,M14&gt;0),1,0)</f>
        <v/>
      </c>
      <c r="Z14" s="60">
        <f>IF(AND(A14&gt;4,Q14&gt;0),1,0)</f>
        <v/>
      </c>
    </row>
    <row r="15">
      <c r="A15" s="61" t="n">
        <v>11</v>
      </c>
      <c r="B15" s="6" t="inlineStr">
        <is>
          <t>Operación</t>
        </is>
      </c>
      <c r="C15" s="14" t="n">
        <v>22</v>
      </c>
      <c r="D15" s="14" t="n">
        <v>9</v>
      </c>
      <c r="E15" s="14" t="n">
        <v>1</v>
      </c>
      <c r="F15" s="14">
        <f>C15*Supuestos!$C$35+D15*Supuestos!$C$36+E15*Supuestos!$C$37</f>
        <v/>
      </c>
      <c r="G15" s="10">
        <f>(C15*Supuestos!$B$35+D15*Supuestos!$B$36+E15*Supuestos!$B$37)*Supuestos!$B$52</f>
        <v/>
      </c>
      <c r="H15" s="10">
        <f>F15*Supuestos!$B$46*Supuestos!$B$52</f>
        <v/>
      </c>
      <c r="I15" s="10">
        <f>IF(A15&lt;=3,0,Infraestructura!$D$20)</f>
        <v/>
      </c>
      <c r="J15" s="10">
        <f>-Costo_Desarrollo!$D$23*0</f>
        <v/>
      </c>
      <c r="K15" s="10">
        <f>IF(Supuestos!$B$10=2,Costo_Desarrollo!$G$23*0,0)</f>
        <v/>
      </c>
      <c r="L15" s="10">
        <f>G15-H15-I15+J15+K15</f>
        <v/>
      </c>
      <c r="M15" s="10">
        <f>M14+L15</f>
        <v/>
      </c>
      <c r="N15" s="10">
        <f>G15/Supuestos!$B$52*Supuestos!$B$51-F15*Supuestos!$B$46*Supuestos!$B$51-I15+J15+K15</f>
        <v/>
      </c>
      <c r="O15" s="10">
        <f>O14+N15</f>
        <v/>
      </c>
      <c r="P15" s="10">
        <f>G15/Supuestos!$B$52*Supuestos!$B$53-F15*Supuestos!$B$46*Supuestos!$B$53-I15+J15+K15</f>
        <v/>
      </c>
      <c r="Q15" s="10">
        <f>Q14+P15</f>
        <v/>
      </c>
      <c r="R15" s="10">
        <f>G15-H15-I15</f>
        <v/>
      </c>
      <c r="S15" s="10">
        <f>G15/Supuestos!$B$52*Supuestos!$B$51-F15*Supuestos!$B$46*Supuestos!$B$51-I15</f>
        <v/>
      </c>
      <c r="T15" s="10">
        <f>G15/Supuestos!$B$52*Supuestos!$B$53-F15*Supuestos!$B$46*Supuestos!$B$53-I15</f>
        <v/>
      </c>
      <c r="U15" s="60">
        <f>IF(AND(A15&gt;4,S15&gt;0),1,0)</f>
        <v/>
      </c>
      <c r="V15" s="60">
        <f>IF(AND(A15&gt;4,R15&gt;0),1,0)</f>
        <v/>
      </c>
      <c r="W15" s="60">
        <f>IF(AND(A15&gt;4,T15&gt;0),1,0)</f>
        <v/>
      </c>
      <c r="X15" s="60">
        <f>IF(AND(A15&gt;4,O15&gt;0),1,0)</f>
        <v/>
      </c>
      <c r="Y15" s="60">
        <f>IF(AND(A15&gt;4,M15&gt;0),1,0)</f>
        <v/>
      </c>
      <c r="Z15" s="60">
        <f>IF(AND(A15&gt;4,Q15&gt;0),1,0)</f>
        <v/>
      </c>
    </row>
    <row r="16">
      <c r="A16" s="61" t="n">
        <v>12</v>
      </c>
      <c r="B16" s="6" t="inlineStr">
        <is>
          <t>Operación</t>
        </is>
      </c>
      <c r="C16" s="14" t="n">
        <v>24</v>
      </c>
      <c r="D16" s="14" t="n">
        <v>10</v>
      </c>
      <c r="E16" s="14" t="n">
        <v>1</v>
      </c>
      <c r="F16" s="14">
        <f>C16*Supuestos!$C$35+D16*Supuestos!$C$36+E16*Supuestos!$C$37</f>
        <v/>
      </c>
      <c r="G16" s="10">
        <f>(C16*Supuestos!$B$35+D16*Supuestos!$B$36+E16*Supuestos!$B$37)*Supuestos!$B$52</f>
        <v/>
      </c>
      <c r="H16" s="10">
        <f>F16*Supuestos!$B$46*Supuestos!$B$52</f>
        <v/>
      </c>
      <c r="I16" s="10">
        <f>IF(A16&lt;=3,0,Infraestructura!$D$20)</f>
        <v/>
      </c>
      <c r="J16" s="10">
        <f>-Costo_Desarrollo!$D$23*0</f>
        <v/>
      </c>
      <c r="K16" s="10">
        <f>IF(Supuestos!$B$10=2,Costo_Desarrollo!$G$23*0,0)</f>
        <v/>
      </c>
      <c r="L16" s="10">
        <f>G16-H16-I16+J16+K16</f>
        <v/>
      </c>
      <c r="M16" s="10">
        <f>M15+L16</f>
        <v/>
      </c>
      <c r="N16" s="10">
        <f>G16/Supuestos!$B$52*Supuestos!$B$51-F16*Supuestos!$B$46*Supuestos!$B$51-I16+J16+K16</f>
        <v/>
      </c>
      <c r="O16" s="10">
        <f>O15+N16</f>
        <v/>
      </c>
      <c r="P16" s="10">
        <f>G16/Supuestos!$B$52*Supuestos!$B$53-F16*Supuestos!$B$46*Supuestos!$B$53-I16+J16+K16</f>
        <v/>
      </c>
      <c r="Q16" s="10">
        <f>Q15+P16</f>
        <v/>
      </c>
      <c r="R16" s="10">
        <f>G16-H16-I16</f>
        <v/>
      </c>
      <c r="S16" s="10">
        <f>G16/Supuestos!$B$52*Supuestos!$B$51-F16*Supuestos!$B$46*Supuestos!$B$51-I16</f>
        <v/>
      </c>
      <c r="T16" s="10">
        <f>G16/Supuestos!$B$52*Supuestos!$B$53-F16*Supuestos!$B$46*Supuestos!$B$53-I16</f>
        <v/>
      </c>
      <c r="U16" s="60">
        <f>IF(AND(A16&gt;4,S16&gt;0),1,0)</f>
        <v/>
      </c>
      <c r="V16" s="60">
        <f>IF(AND(A16&gt;4,R16&gt;0),1,0)</f>
        <v/>
      </c>
      <c r="W16" s="60">
        <f>IF(AND(A16&gt;4,T16&gt;0),1,0)</f>
        <v/>
      </c>
      <c r="X16" s="60">
        <f>IF(AND(A16&gt;4,O16&gt;0),1,0)</f>
        <v/>
      </c>
      <c r="Y16" s="60">
        <f>IF(AND(A16&gt;4,M16&gt;0),1,0)</f>
        <v/>
      </c>
      <c r="Z16" s="60">
        <f>IF(AND(A16&gt;4,Q16&gt;0),1,0)</f>
        <v/>
      </c>
    </row>
    <row r="17">
      <c r="A17" s="61" t="n">
        <v>13</v>
      </c>
      <c r="B17" s="6" t="inlineStr">
        <is>
          <t>Operación</t>
        </is>
      </c>
      <c r="C17" s="14" t="n">
        <v>26</v>
      </c>
      <c r="D17" s="14" t="n">
        <v>11</v>
      </c>
      <c r="E17" s="14" t="n">
        <v>1</v>
      </c>
      <c r="F17" s="14">
        <f>C17*Supuestos!$C$35+D17*Supuestos!$C$36+E17*Supuestos!$C$37</f>
        <v/>
      </c>
      <c r="G17" s="10">
        <f>(C17*Supuestos!$B$35+D17*Supuestos!$B$36+E17*Supuestos!$B$37)*Supuestos!$B$52</f>
        <v/>
      </c>
      <c r="H17" s="10">
        <f>F17*Supuestos!$B$46*Supuestos!$B$52</f>
        <v/>
      </c>
      <c r="I17" s="10">
        <f>IF(A17&lt;=3,0,Infraestructura!$D$20)</f>
        <v/>
      </c>
      <c r="J17" s="10">
        <f>-Costo_Desarrollo!$D$23*0</f>
        <v/>
      </c>
      <c r="K17" s="10">
        <f>IF(Supuestos!$B$10=2,Costo_Desarrollo!$G$23*0,0)</f>
        <v/>
      </c>
      <c r="L17" s="10">
        <f>G17-H17-I17+J17+K17</f>
        <v/>
      </c>
      <c r="M17" s="10">
        <f>M16+L17</f>
        <v/>
      </c>
      <c r="N17" s="10">
        <f>G17/Supuestos!$B$52*Supuestos!$B$51-F17*Supuestos!$B$46*Supuestos!$B$51-I17+J17+K17</f>
        <v/>
      </c>
      <c r="O17" s="10">
        <f>O16+N17</f>
        <v/>
      </c>
      <c r="P17" s="10">
        <f>G17/Supuestos!$B$52*Supuestos!$B$53-F17*Supuestos!$B$46*Supuestos!$B$53-I17+J17+K17</f>
        <v/>
      </c>
      <c r="Q17" s="10">
        <f>Q16+P17</f>
        <v/>
      </c>
      <c r="R17" s="10">
        <f>G17-H17-I17</f>
        <v/>
      </c>
      <c r="S17" s="10">
        <f>G17/Supuestos!$B$52*Supuestos!$B$51-F17*Supuestos!$B$46*Supuestos!$B$51-I17</f>
        <v/>
      </c>
      <c r="T17" s="10">
        <f>G17/Supuestos!$B$52*Supuestos!$B$53-F17*Supuestos!$B$46*Supuestos!$B$53-I17</f>
        <v/>
      </c>
      <c r="U17" s="60">
        <f>IF(AND(A17&gt;4,S17&gt;0),1,0)</f>
        <v/>
      </c>
      <c r="V17" s="60">
        <f>IF(AND(A17&gt;4,R17&gt;0),1,0)</f>
        <v/>
      </c>
      <c r="W17" s="60">
        <f>IF(AND(A17&gt;4,T17&gt;0),1,0)</f>
        <v/>
      </c>
      <c r="X17" s="60">
        <f>IF(AND(A17&gt;4,O17&gt;0),1,0)</f>
        <v/>
      </c>
      <c r="Y17" s="60">
        <f>IF(AND(A17&gt;4,M17&gt;0),1,0)</f>
        <v/>
      </c>
      <c r="Z17" s="60">
        <f>IF(AND(A17&gt;4,Q17&gt;0),1,0)</f>
        <v/>
      </c>
    </row>
    <row r="18">
      <c r="A18" s="61" t="n">
        <v>14</v>
      </c>
      <c r="B18" s="6" t="inlineStr">
        <is>
          <t>Operación</t>
        </is>
      </c>
      <c r="C18" s="14" t="n">
        <v>28</v>
      </c>
      <c r="D18" s="14" t="n">
        <v>12</v>
      </c>
      <c r="E18" s="14" t="n">
        <v>1</v>
      </c>
      <c r="F18" s="14">
        <f>C18*Supuestos!$C$35+D18*Supuestos!$C$36+E18*Supuestos!$C$37</f>
        <v/>
      </c>
      <c r="G18" s="10">
        <f>(C18*Supuestos!$B$35+D18*Supuestos!$B$36+E18*Supuestos!$B$37)*Supuestos!$B$52</f>
        <v/>
      </c>
      <c r="H18" s="10">
        <f>F18*Supuestos!$B$46*Supuestos!$B$52</f>
        <v/>
      </c>
      <c r="I18" s="10">
        <f>IF(A18&lt;=3,0,Infraestructura!$D$20)</f>
        <v/>
      </c>
      <c r="J18" s="10">
        <f>-Costo_Desarrollo!$D$23*0</f>
        <v/>
      </c>
      <c r="K18" s="10">
        <f>IF(Supuestos!$B$10=2,Costo_Desarrollo!$G$23*0,0)</f>
        <v/>
      </c>
      <c r="L18" s="10">
        <f>G18-H18-I18+J18+K18</f>
        <v/>
      </c>
      <c r="M18" s="10">
        <f>M17+L18</f>
        <v/>
      </c>
      <c r="N18" s="10">
        <f>G18/Supuestos!$B$52*Supuestos!$B$51-F18*Supuestos!$B$46*Supuestos!$B$51-I18+J18+K18</f>
        <v/>
      </c>
      <c r="O18" s="10">
        <f>O17+N18</f>
        <v/>
      </c>
      <c r="P18" s="10">
        <f>G18/Supuestos!$B$52*Supuestos!$B$53-F18*Supuestos!$B$46*Supuestos!$B$53-I18+J18+K18</f>
        <v/>
      </c>
      <c r="Q18" s="10">
        <f>Q17+P18</f>
        <v/>
      </c>
      <c r="R18" s="10">
        <f>G18-H18-I18</f>
        <v/>
      </c>
      <c r="S18" s="10">
        <f>G18/Supuestos!$B$52*Supuestos!$B$51-F18*Supuestos!$B$46*Supuestos!$B$51-I18</f>
        <v/>
      </c>
      <c r="T18" s="10">
        <f>G18/Supuestos!$B$52*Supuestos!$B$53-F18*Supuestos!$B$46*Supuestos!$B$53-I18</f>
        <v/>
      </c>
      <c r="U18" s="60">
        <f>IF(AND(A18&gt;4,S18&gt;0),1,0)</f>
        <v/>
      </c>
      <c r="V18" s="60">
        <f>IF(AND(A18&gt;4,R18&gt;0),1,0)</f>
        <v/>
      </c>
      <c r="W18" s="60">
        <f>IF(AND(A18&gt;4,T18&gt;0),1,0)</f>
        <v/>
      </c>
      <c r="X18" s="60">
        <f>IF(AND(A18&gt;4,O18&gt;0),1,0)</f>
        <v/>
      </c>
      <c r="Y18" s="60">
        <f>IF(AND(A18&gt;4,M18&gt;0),1,0)</f>
        <v/>
      </c>
      <c r="Z18" s="60">
        <f>IF(AND(A18&gt;4,Q18&gt;0),1,0)</f>
        <v/>
      </c>
    </row>
    <row r="19">
      <c r="A19" s="61" t="n">
        <v>15</v>
      </c>
      <c r="B19" s="6" t="inlineStr">
        <is>
          <t>Operación</t>
        </is>
      </c>
      <c r="C19" s="14" t="n">
        <v>30</v>
      </c>
      <c r="D19" s="14" t="n">
        <v>12</v>
      </c>
      <c r="E19" s="14" t="n">
        <v>1</v>
      </c>
      <c r="F19" s="14">
        <f>C19*Supuestos!$C$35+D19*Supuestos!$C$36+E19*Supuestos!$C$37</f>
        <v/>
      </c>
      <c r="G19" s="10">
        <f>(C19*Supuestos!$B$35+D19*Supuestos!$B$36+E19*Supuestos!$B$37)*Supuestos!$B$52</f>
        <v/>
      </c>
      <c r="H19" s="10">
        <f>F19*Supuestos!$B$46*Supuestos!$B$52</f>
        <v/>
      </c>
      <c r="I19" s="10">
        <f>IF(A19&lt;=3,0,Infraestructura!$D$20)</f>
        <v/>
      </c>
      <c r="J19" s="10">
        <f>-Costo_Desarrollo!$D$23*0</f>
        <v/>
      </c>
      <c r="K19" s="10">
        <f>IF(Supuestos!$B$10=2,Costo_Desarrollo!$G$23*0,0)</f>
        <v/>
      </c>
      <c r="L19" s="10">
        <f>G19-H19-I19+J19+K19</f>
        <v/>
      </c>
      <c r="M19" s="10">
        <f>M18+L19</f>
        <v/>
      </c>
      <c r="N19" s="10">
        <f>G19/Supuestos!$B$52*Supuestos!$B$51-F19*Supuestos!$B$46*Supuestos!$B$51-I19+J19+K19</f>
        <v/>
      </c>
      <c r="O19" s="10">
        <f>O18+N19</f>
        <v/>
      </c>
      <c r="P19" s="10">
        <f>G19/Supuestos!$B$52*Supuestos!$B$53-F19*Supuestos!$B$46*Supuestos!$B$53-I19+J19+K19</f>
        <v/>
      </c>
      <c r="Q19" s="10">
        <f>Q18+P19</f>
        <v/>
      </c>
      <c r="R19" s="10">
        <f>G19-H19-I19</f>
        <v/>
      </c>
      <c r="S19" s="10">
        <f>G19/Supuestos!$B$52*Supuestos!$B$51-F19*Supuestos!$B$46*Supuestos!$B$51-I19</f>
        <v/>
      </c>
      <c r="T19" s="10">
        <f>G19/Supuestos!$B$52*Supuestos!$B$53-F19*Supuestos!$B$46*Supuestos!$B$53-I19</f>
        <v/>
      </c>
      <c r="U19" s="60">
        <f>IF(AND(A19&gt;4,S19&gt;0),1,0)</f>
        <v/>
      </c>
      <c r="V19" s="60">
        <f>IF(AND(A19&gt;4,R19&gt;0),1,0)</f>
        <v/>
      </c>
      <c r="W19" s="60">
        <f>IF(AND(A19&gt;4,T19&gt;0),1,0)</f>
        <v/>
      </c>
      <c r="X19" s="60">
        <f>IF(AND(A19&gt;4,O19&gt;0),1,0)</f>
        <v/>
      </c>
      <c r="Y19" s="60">
        <f>IF(AND(A19&gt;4,M19&gt;0),1,0)</f>
        <v/>
      </c>
      <c r="Z19" s="60">
        <f>IF(AND(A19&gt;4,Q19&gt;0),1,0)</f>
        <v/>
      </c>
    </row>
    <row r="20">
      <c r="A20" s="61" t="n">
        <v>16</v>
      </c>
      <c r="B20" s="6" t="inlineStr">
        <is>
          <t>Operación</t>
        </is>
      </c>
      <c r="C20" s="14" t="n">
        <v>32</v>
      </c>
      <c r="D20" s="14" t="n">
        <v>13</v>
      </c>
      <c r="E20" s="14" t="n">
        <v>1</v>
      </c>
      <c r="F20" s="14">
        <f>C20*Supuestos!$C$35+D20*Supuestos!$C$36+E20*Supuestos!$C$37</f>
        <v/>
      </c>
      <c r="G20" s="10">
        <f>(C20*Supuestos!$B$35+D20*Supuestos!$B$36+E20*Supuestos!$B$37)*Supuestos!$B$52</f>
        <v/>
      </c>
      <c r="H20" s="10">
        <f>F20*Supuestos!$B$46*Supuestos!$B$52</f>
        <v/>
      </c>
      <c r="I20" s="10">
        <f>IF(A20&lt;=3,0,Infraestructura!$D$20)</f>
        <v/>
      </c>
      <c r="J20" s="10">
        <f>-Costo_Desarrollo!$D$23*0</f>
        <v/>
      </c>
      <c r="K20" s="10">
        <f>IF(Supuestos!$B$10=2,Costo_Desarrollo!$G$23*0,0)</f>
        <v/>
      </c>
      <c r="L20" s="10">
        <f>G20-H20-I20+J20+K20</f>
        <v/>
      </c>
      <c r="M20" s="10">
        <f>M19+L20</f>
        <v/>
      </c>
      <c r="N20" s="10">
        <f>G20/Supuestos!$B$52*Supuestos!$B$51-F20*Supuestos!$B$46*Supuestos!$B$51-I20+J20+K20</f>
        <v/>
      </c>
      <c r="O20" s="10">
        <f>O19+N20</f>
        <v/>
      </c>
      <c r="P20" s="10">
        <f>G20/Supuestos!$B$52*Supuestos!$B$53-F20*Supuestos!$B$46*Supuestos!$B$53-I20+J20+K20</f>
        <v/>
      </c>
      <c r="Q20" s="10">
        <f>Q19+P20</f>
        <v/>
      </c>
      <c r="R20" s="10">
        <f>G20-H20-I20</f>
        <v/>
      </c>
      <c r="S20" s="10">
        <f>G20/Supuestos!$B$52*Supuestos!$B$51-F20*Supuestos!$B$46*Supuestos!$B$51-I20</f>
        <v/>
      </c>
      <c r="T20" s="10">
        <f>G20/Supuestos!$B$52*Supuestos!$B$53-F20*Supuestos!$B$46*Supuestos!$B$53-I20</f>
        <v/>
      </c>
      <c r="U20" s="60">
        <f>IF(AND(A20&gt;4,S20&gt;0),1,0)</f>
        <v/>
      </c>
      <c r="V20" s="60">
        <f>IF(AND(A20&gt;4,R20&gt;0),1,0)</f>
        <v/>
      </c>
      <c r="W20" s="60">
        <f>IF(AND(A20&gt;4,T20&gt;0),1,0)</f>
        <v/>
      </c>
      <c r="X20" s="60">
        <f>IF(AND(A20&gt;4,O20&gt;0),1,0)</f>
        <v/>
      </c>
      <c r="Y20" s="60">
        <f>IF(AND(A20&gt;4,M20&gt;0),1,0)</f>
        <v/>
      </c>
      <c r="Z20" s="60">
        <f>IF(AND(A20&gt;4,Q20&gt;0),1,0)</f>
        <v/>
      </c>
    </row>
    <row r="21">
      <c r="A21" s="61" t="n">
        <v>17</v>
      </c>
      <c r="B21" s="6" t="inlineStr">
        <is>
          <t>Operación</t>
        </is>
      </c>
      <c r="C21" s="14" t="n">
        <v>34</v>
      </c>
      <c r="D21" s="14" t="n">
        <v>14</v>
      </c>
      <c r="E21" s="14" t="n">
        <v>1</v>
      </c>
      <c r="F21" s="14">
        <f>C21*Supuestos!$C$35+D21*Supuestos!$C$36+E21*Supuestos!$C$37</f>
        <v/>
      </c>
      <c r="G21" s="10">
        <f>(C21*Supuestos!$B$35+D21*Supuestos!$B$36+E21*Supuestos!$B$37)*Supuestos!$B$52</f>
        <v/>
      </c>
      <c r="H21" s="10">
        <f>F21*Supuestos!$B$46*Supuestos!$B$52</f>
        <v/>
      </c>
      <c r="I21" s="10">
        <f>IF(A21&lt;=3,0,Infraestructura!$D$20)</f>
        <v/>
      </c>
      <c r="J21" s="10">
        <f>-Costo_Desarrollo!$D$23*0</f>
        <v/>
      </c>
      <c r="K21" s="10">
        <f>IF(Supuestos!$B$10=2,Costo_Desarrollo!$G$23*0,0)</f>
        <v/>
      </c>
      <c r="L21" s="10">
        <f>G21-H21-I21+J21+K21</f>
        <v/>
      </c>
      <c r="M21" s="10">
        <f>M20+L21</f>
        <v/>
      </c>
      <c r="N21" s="10">
        <f>G21/Supuestos!$B$52*Supuestos!$B$51-F21*Supuestos!$B$46*Supuestos!$B$51-I21+J21+K21</f>
        <v/>
      </c>
      <c r="O21" s="10">
        <f>O20+N21</f>
        <v/>
      </c>
      <c r="P21" s="10">
        <f>G21/Supuestos!$B$52*Supuestos!$B$53-F21*Supuestos!$B$46*Supuestos!$B$53-I21+J21+K21</f>
        <v/>
      </c>
      <c r="Q21" s="10">
        <f>Q20+P21</f>
        <v/>
      </c>
      <c r="R21" s="10">
        <f>G21-H21-I21</f>
        <v/>
      </c>
      <c r="S21" s="10">
        <f>G21/Supuestos!$B$52*Supuestos!$B$51-F21*Supuestos!$B$46*Supuestos!$B$51-I21</f>
        <v/>
      </c>
      <c r="T21" s="10">
        <f>G21/Supuestos!$B$52*Supuestos!$B$53-F21*Supuestos!$B$46*Supuestos!$B$53-I21</f>
        <v/>
      </c>
      <c r="U21" s="60">
        <f>IF(AND(A21&gt;4,S21&gt;0),1,0)</f>
        <v/>
      </c>
      <c r="V21" s="60">
        <f>IF(AND(A21&gt;4,R21&gt;0),1,0)</f>
        <v/>
      </c>
      <c r="W21" s="60">
        <f>IF(AND(A21&gt;4,T21&gt;0),1,0)</f>
        <v/>
      </c>
      <c r="X21" s="60">
        <f>IF(AND(A21&gt;4,O21&gt;0),1,0)</f>
        <v/>
      </c>
      <c r="Y21" s="60">
        <f>IF(AND(A21&gt;4,M21&gt;0),1,0)</f>
        <v/>
      </c>
      <c r="Z21" s="60">
        <f>IF(AND(A21&gt;4,Q21&gt;0),1,0)</f>
        <v/>
      </c>
    </row>
    <row r="22">
      <c r="A22" s="61" t="n">
        <v>18</v>
      </c>
      <c r="B22" s="6" t="inlineStr">
        <is>
          <t>Operación</t>
        </is>
      </c>
      <c r="C22" s="14" t="n">
        <v>36</v>
      </c>
      <c r="D22" s="14" t="n">
        <v>14</v>
      </c>
      <c r="E22" s="14" t="n">
        <v>2</v>
      </c>
      <c r="F22" s="14">
        <f>C22*Supuestos!$C$35+D22*Supuestos!$C$36+E22*Supuestos!$C$37</f>
        <v/>
      </c>
      <c r="G22" s="10">
        <f>(C22*Supuestos!$B$35+D22*Supuestos!$B$36+E22*Supuestos!$B$37)*Supuestos!$B$52</f>
        <v/>
      </c>
      <c r="H22" s="10">
        <f>F22*Supuestos!$B$46*Supuestos!$B$52</f>
        <v/>
      </c>
      <c r="I22" s="10">
        <f>IF(A22&lt;=3,0,Infraestructura!$D$20)</f>
        <v/>
      </c>
      <c r="J22" s="10">
        <f>-Costo_Desarrollo!$D$23*0</f>
        <v/>
      </c>
      <c r="K22" s="10">
        <f>IF(Supuestos!$B$10=2,Costo_Desarrollo!$G$23*0,0)</f>
        <v/>
      </c>
      <c r="L22" s="10">
        <f>G22-H22-I22+J22+K22</f>
        <v/>
      </c>
      <c r="M22" s="10">
        <f>M21+L22</f>
        <v/>
      </c>
      <c r="N22" s="10">
        <f>G22/Supuestos!$B$52*Supuestos!$B$51-F22*Supuestos!$B$46*Supuestos!$B$51-I22+J22+K22</f>
        <v/>
      </c>
      <c r="O22" s="10">
        <f>O21+N22</f>
        <v/>
      </c>
      <c r="P22" s="10">
        <f>G22/Supuestos!$B$52*Supuestos!$B$53-F22*Supuestos!$B$46*Supuestos!$B$53-I22+J22+K22</f>
        <v/>
      </c>
      <c r="Q22" s="10">
        <f>Q21+P22</f>
        <v/>
      </c>
      <c r="R22" s="10">
        <f>G22-H22-I22</f>
        <v/>
      </c>
      <c r="S22" s="10">
        <f>G22/Supuestos!$B$52*Supuestos!$B$51-F22*Supuestos!$B$46*Supuestos!$B$51-I22</f>
        <v/>
      </c>
      <c r="T22" s="10">
        <f>G22/Supuestos!$B$52*Supuestos!$B$53-F22*Supuestos!$B$46*Supuestos!$B$53-I22</f>
        <v/>
      </c>
      <c r="U22" s="60">
        <f>IF(AND(A22&gt;4,S22&gt;0),1,0)</f>
        <v/>
      </c>
      <c r="V22" s="60">
        <f>IF(AND(A22&gt;4,R22&gt;0),1,0)</f>
        <v/>
      </c>
      <c r="W22" s="60">
        <f>IF(AND(A22&gt;4,T22&gt;0),1,0)</f>
        <v/>
      </c>
      <c r="X22" s="60">
        <f>IF(AND(A22&gt;4,O22&gt;0),1,0)</f>
        <v/>
      </c>
      <c r="Y22" s="60">
        <f>IF(AND(A22&gt;4,M22&gt;0),1,0)</f>
        <v/>
      </c>
      <c r="Z22" s="60">
        <f>IF(AND(A22&gt;4,Q22&gt;0),1,0)</f>
        <v/>
      </c>
    </row>
    <row r="23">
      <c r="A23" s="61" t="n">
        <v>19</v>
      </c>
      <c r="B23" s="6" t="inlineStr">
        <is>
          <t>Operación</t>
        </is>
      </c>
      <c r="C23" s="14" t="n">
        <v>38</v>
      </c>
      <c r="D23" s="14" t="n">
        <v>15</v>
      </c>
      <c r="E23" s="14" t="n">
        <v>2</v>
      </c>
      <c r="F23" s="14">
        <f>C23*Supuestos!$C$35+D23*Supuestos!$C$36+E23*Supuestos!$C$37</f>
        <v/>
      </c>
      <c r="G23" s="10">
        <f>(C23*Supuestos!$B$35+D23*Supuestos!$B$36+E23*Supuestos!$B$37)*Supuestos!$B$52</f>
        <v/>
      </c>
      <c r="H23" s="10">
        <f>F23*Supuestos!$B$46*Supuestos!$B$52</f>
        <v/>
      </c>
      <c r="I23" s="10">
        <f>IF(A23&lt;=3,0,Infraestructura!$D$20)</f>
        <v/>
      </c>
      <c r="J23" s="10">
        <f>-Costo_Desarrollo!$D$23*0</f>
        <v/>
      </c>
      <c r="K23" s="10">
        <f>IF(Supuestos!$B$10=2,Costo_Desarrollo!$G$23*0,0)</f>
        <v/>
      </c>
      <c r="L23" s="10">
        <f>G23-H23-I23+J23+K23</f>
        <v/>
      </c>
      <c r="M23" s="10">
        <f>M22+L23</f>
        <v/>
      </c>
      <c r="N23" s="10">
        <f>G23/Supuestos!$B$52*Supuestos!$B$51-F23*Supuestos!$B$46*Supuestos!$B$51-I23+J23+K23</f>
        <v/>
      </c>
      <c r="O23" s="10">
        <f>O22+N23</f>
        <v/>
      </c>
      <c r="P23" s="10">
        <f>G23/Supuestos!$B$52*Supuestos!$B$53-F23*Supuestos!$B$46*Supuestos!$B$53-I23+J23+K23</f>
        <v/>
      </c>
      <c r="Q23" s="10">
        <f>Q22+P23</f>
        <v/>
      </c>
      <c r="R23" s="10">
        <f>G23-H23-I23</f>
        <v/>
      </c>
      <c r="S23" s="10">
        <f>G23/Supuestos!$B$52*Supuestos!$B$51-F23*Supuestos!$B$46*Supuestos!$B$51-I23</f>
        <v/>
      </c>
      <c r="T23" s="10">
        <f>G23/Supuestos!$B$52*Supuestos!$B$53-F23*Supuestos!$B$46*Supuestos!$B$53-I23</f>
        <v/>
      </c>
      <c r="U23" s="60">
        <f>IF(AND(A23&gt;4,S23&gt;0),1,0)</f>
        <v/>
      </c>
      <c r="V23" s="60">
        <f>IF(AND(A23&gt;4,R23&gt;0),1,0)</f>
        <v/>
      </c>
      <c r="W23" s="60">
        <f>IF(AND(A23&gt;4,T23&gt;0),1,0)</f>
        <v/>
      </c>
      <c r="X23" s="60">
        <f>IF(AND(A23&gt;4,O23&gt;0),1,0)</f>
        <v/>
      </c>
      <c r="Y23" s="60">
        <f>IF(AND(A23&gt;4,M23&gt;0),1,0)</f>
        <v/>
      </c>
      <c r="Z23" s="60">
        <f>IF(AND(A23&gt;4,Q23&gt;0),1,0)</f>
        <v/>
      </c>
    </row>
    <row r="24">
      <c r="A24" s="61" t="n">
        <v>20</v>
      </c>
      <c r="B24" s="6" t="inlineStr">
        <is>
          <t>Operación</t>
        </is>
      </c>
      <c r="C24" s="14" t="n">
        <v>40</v>
      </c>
      <c r="D24" s="14" t="n">
        <v>16</v>
      </c>
      <c r="E24" s="14" t="n">
        <v>2</v>
      </c>
      <c r="F24" s="14">
        <f>C24*Supuestos!$C$35+D24*Supuestos!$C$36+E24*Supuestos!$C$37</f>
        <v/>
      </c>
      <c r="G24" s="10">
        <f>(C24*Supuestos!$B$35+D24*Supuestos!$B$36+E24*Supuestos!$B$37)*Supuestos!$B$52</f>
        <v/>
      </c>
      <c r="H24" s="10">
        <f>F24*Supuestos!$B$46*Supuestos!$B$52</f>
        <v/>
      </c>
      <c r="I24" s="10">
        <f>IF(A24&lt;=3,0,Infraestructura!$D$20)</f>
        <v/>
      </c>
      <c r="J24" s="10">
        <f>-Costo_Desarrollo!$D$23*0</f>
        <v/>
      </c>
      <c r="K24" s="10">
        <f>IF(Supuestos!$B$10=2,Costo_Desarrollo!$G$23*0,0)</f>
        <v/>
      </c>
      <c r="L24" s="10">
        <f>G24-H24-I24+J24+K24</f>
        <v/>
      </c>
      <c r="M24" s="10">
        <f>M23+L24</f>
        <v/>
      </c>
      <c r="N24" s="10">
        <f>G24/Supuestos!$B$52*Supuestos!$B$51-F24*Supuestos!$B$46*Supuestos!$B$51-I24+J24+K24</f>
        <v/>
      </c>
      <c r="O24" s="10">
        <f>O23+N24</f>
        <v/>
      </c>
      <c r="P24" s="10">
        <f>G24/Supuestos!$B$52*Supuestos!$B$53-F24*Supuestos!$B$46*Supuestos!$B$53-I24+J24+K24</f>
        <v/>
      </c>
      <c r="Q24" s="10">
        <f>Q23+P24</f>
        <v/>
      </c>
      <c r="R24" s="10">
        <f>G24-H24-I24</f>
        <v/>
      </c>
      <c r="S24" s="10">
        <f>G24/Supuestos!$B$52*Supuestos!$B$51-F24*Supuestos!$B$46*Supuestos!$B$51-I24</f>
        <v/>
      </c>
      <c r="T24" s="10">
        <f>G24/Supuestos!$B$52*Supuestos!$B$53-F24*Supuestos!$B$46*Supuestos!$B$53-I24</f>
        <v/>
      </c>
      <c r="U24" s="60">
        <f>IF(AND(A24&gt;4,S24&gt;0),1,0)</f>
        <v/>
      </c>
      <c r="V24" s="60">
        <f>IF(AND(A24&gt;4,R24&gt;0),1,0)</f>
        <v/>
      </c>
      <c r="W24" s="60">
        <f>IF(AND(A24&gt;4,T24&gt;0),1,0)</f>
        <v/>
      </c>
      <c r="X24" s="60">
        <f>IF(AND(A24&gt;4,O24&gt;0),1,0)</f>
        <v/>
      </c>
      <c r="Y24" s="60">
        <f>IF(AND(A24&gt;4,M24&gt;0),1,0)</f>
        <v/>
      </c>
      <c r="Z24" s="60">
        <f>IF(AND(A24&gt;4,Q24&gt;0),1,0)</f>
        <v/>
      </c>
    </row>
    <row r="25">
      <c r="A25" s="61" t="n">
        <v>21</v>
      </c>
      <c r="B25" s="6" t="inlineStr">
        <is>
          <t>Operación</t>
        </is>
      </c>
      <c r="C25" s="14" t="n">
        <v>42</v>
      </c>
      <c r="D25" s="14" t="n">
        <v>17</v>
      </c>
      <c r="E25" s="14" t="n">
        <v>2</v>
      </c>
      <c r="F25" s="14">
        <f>C25*Supuestos!$C$35+D25*Supuestos!$C$36+E25*Supuestos!$C$37</f>
        <v/>
      </c>
      <c r="G25" s="10">
        <f>(C25*Supuestos!$B$35+D25*Supuestos!$B$36+E25*Supuestos!$B$37)*Supuestos!$B$52</f>
        <v/>
      </c>
      <c r="H25" s="10">
        <f>F25*Supuestos!$B$46*Supuestos!$B$52</f>
        <v/>
      </c>
      <c r="I25" s="10">
        <f>IF(A25&lt;=3,0,Infraestructura!$D$20)</f>
        <v/>
      </c>
      <c r="J25" s="10">
        <f>-Costo_Desarrollo!$D$23*0</f>
        <v/>
      </c>
      <c r="K25" s="10">
        <f>IF(Supuestos!$B$10=2,Costo_Desarrollo!$G$23*0,0)</f>
        <v/>
      </c>
      <c r="L25" s="10">
        <f>G25-H25-I25+J25+K25</f>
        <v/>
      </c>
      <c r="M25" s="10">
        <f>M24+L25</f>
        <v/>
      </c>
      <c r="N25" s="10">
        <f>G25/Supuestos!$B$52*Supuestos!$B$51-F25*Supuestos!$B$46*Supuestos!$B$51-I25+J25+K25</f>
        <v/>
      </c>
      <c r="O25" s="10">
        <f>O24+N25</f>
        <v/>
      </c>
      <c r="P25" s="10">
        <f>G25/Supuestos!$B$52*Supuestos!$B$53-F25*Supuestos!$B$46*Supuestos!$B$53-I25+J25+K25</f>
        <v/>
      </c>
      <c r="Q25" s="10">
        <f>Q24+P25</f>
        <v/>
      </c>
      <c r="R25" s="10">
        <f>G25-H25-I25</f>
        <v/>
      </c>
      <c r="S25" s="10">
        <f>G25/Supuestos!$B$52*Supuestos!$B$51-F25*Supuestos!$B$46*Supuestos!$B$51-I25</f>
        <v/>
      </c>
      <c r="T25" s="10">
        <f>G25/Supuestos!$B$52*Supuestos!$B$53-F25*Supuestos!$B$46*Supuestos!$B$53-I25</f>
        <v/>
      </c>
      <c r="U25" s="60">
        <f>IF(AND(A25&gt;4,S25&gt;0),1,0)</f>
        <v/>
      </c>
      <c r="V25" s="60">
        <f>IF(AND(A25&gt;4,R25&gt;0),1,0)</f>
        <v/>
      </c>
      <c r="W25" s="60">
        <f>IF(AND(A25&gt;4,T25&gt;0),1,0)</f>
        <v/>
      </c>
      <c r="X25" s="60">
        <f>IF(AND(A25&gt;4,O25&gt;0),1,0)</f>
        <v/>
      </c>
      <c r="Y25" s="60">
        <f>IF(AND(A25&gt;4,M25&gt;0),1,0)</f>
        <v/>
      </c>
      <c r="Z25" s="60">
        <f>IF(AND(A25&gt;4,Q25&gt;0),1,0)</f>
        <v/>
      </c>
    </row>
    <row r="26">
      <c r="A26" s="61" t="n">
        <v>22</v>
      </c>
      <c r="B26" s="6" t="inlineStr">
        <is>
          <t>Operación</t>
        </is>
      </c>
      <c r="C26" s="14" t="n">
        <v>44</v>
      </c>
      <c r="D26" s="14" t="n">
        <v>18</v>
      </c>
      <c r="E26" s="14" t="n">
        <v>2</v>
      </c>
      <c r="F26" s="14">
        <f>C26*Supuestos!$C$35+D26*Supuestos!$C$36+E26*Supuestos!$C$37</f>
        <v/>
      </c>
      <c r="G26" s="10">
        <f>(C26*Supuestos!$B$35+D26*Supuestos!$B$36+E26*Supuestos!$B$37)*Supuestos!$B$52</f>
        <v/>
      </c>
      <c r="H26" s="10">
        <f>F26*Supuestos!$B$46*Supuestos!$B$52</f>
        <v/>
      </c>
      <c r="I26" s="10">
        <f>IF(A26&lt;=3,0,Infraestructura!$D$20)</f>
        <v/>
      </c>
      <c r="J26" s="10">
        <f>-Costo_Desarrollo!$D$23*0</f>
        <v/>
      </c>
      <c r="K26" s="10">
        <f>IF(Supuestos!$B$10=2,Costo_Desarrollo!$G$23*0,0)</f>
        <v/>
      </c>
      <c r="L26" s="10">
        <f>G26-H26-I26+J26+K26</f>
        <v/>
      </c>
      <c r="M26" s="10">
        <f>M25+L26</f>
        <v/>
      </c>
      <c r="N26" s="10">
        <f>G26/Supuestos!$B$52*Supuestos!$B$51-F26*Supuestos!$B$46*Supuestos!$B$51-I26+J26+K26</f>
        <v/>
      </c>
      <c r="O26" s="10">
        <f>O25+N26</f>
        <v/>
      </c>
      <c r="P26" s="10">
        <f>G26/Supuestos!$B$52*Supuestos!$B$53-F26*Supuestos!$B$46*Supuestos!$B$53-I26+J26+K26</f>
        <v/>
      </c>
      <c r="Q26" s="10">
        <f>Q25+P26</f>
        <v/>
      </c>
      <c r="R26" s="10">
        <f>G26-H26-I26</f>
        <v/>
      </c>
      <c r="S26" s="10">
        <f>G26/Supuestos!$B$52*Supuestos!$B$51-F26*Supuestos!$B$46*Supuestos!$B$51-I26</f>
        <v/>
      </c>
      <c r="T26" s="10">
        <f>G26/Supuestos!$B$52*Supuestos!$B$53-F26*Supuestos!$B$46*Supuestos!$B$53-I26</f>
        <v/>
      </c>
      <c r="U26" s="60">
        <f>IF(AND(A26&gt;4,S26&gt;0),1,0)</f>
        <v/>
      </c>
      <c r="V26" s="60">
        <f>IF(AND(A26&gt;4,R26&gt;0),1,0)</f>
        <v/>
      </c>
      <c r="W26" s="60">
        <f>IF(AND(A26&gt;4,T26&gt;0),1,0)</f>
        <v/>
      </c>
      <c r="X26" s="60">
        <f>IF(AND(A26&gt;4,O26&gt;0),1,0)</f>
        <v/>
      </c>
      <c r="Y26" s="60">
        <f>IF(AND(A26&gt;4,M26&gt;0),1,0)</f>
        <v/>
      </c>
      <c r="Z26" s="60">
        <f>IF(AND(A26&gt;4,Q26&gt;0),1,0)</f>
        <v/>
      </c>
    </row>
    <row r="27">
      <c r="A27" s="61" t="n">
        <v>23</v>
      </c>
      <c r="B27" s="6" t="inlineStr">
        <is>
          <t>Operación</t>
        </is>
      </c>
      <c r="C27" s="14" t="n">
        <v>46</v>
      </c>
      <c r="D27" s="14" t="n">
        <v>18</v>
      </c>
      <c r="E27" s="14" t="n">
        <v>2</v>
      </c>
      <c r="F27" s="14">
        <f>C27*Supuestos!$C$35+D27*Supuestos!$C$36+E27*Supuestos!$C$37</f>
        <v/>
      </c>
      <c r="G27" s="10">
        <f>(C27*Supuestos!$B$35+D27*Supuestos!$B$36+E27*Supuestos!$B$37)*Supuestos!$B$52</f>
        <v/>
      </c>
      <c r="H27" s="10">
        <f>F27*Supuestos!$B$46*Supuestos!$B$52</f>
        <v/>
      </c>
      <c r="I27" s="10">
        <f>IF(A27&lt;=3,0,Infraestructura!$D$20)</f>
        <v/>
      </c>
      <c r="J27" s="10">
        <f>-Costo_Desarrollo!$D$23*0</f>
        <v/>
      </c>
      <c r="K27" s="10">
        <f>IF(Supuestos!$B$10=2,Costo_Desarrollo!$G$23*0,0)</f>
        <v/>
      </c>
      <c r="L27" s="10">
        <f>G27-H27-I27+J27+K27</f>
        <v/>
      </c>
      <c r="M27" s="10">
        <f>M26+L27</f>
        <v/>
      </c>
      <c r="N27" s="10">
        <f>G27/Supuestos!$B$52*Supuestos!$B$51-F27*Supuestos!$B$46*Supuestos!$B$51-I27+J27+K27</f>
        <v/>
      </c>
      <c r="O27" s="10">
        <f>O26+N27</f>
        <v/>
      </c>
      <c r="P27" s="10">
        <f>G27/Supuestos!$B$52*Supuestos!$B$53-F27*Supuestos!$B$46*Supuestos!$B$53-I27+J27+K27</f>
        <v/>
      </c>
      <c r="Q27" s="10">
        <f>Q26+P27</f>
        <v/>
      </c>
      <c r="R27" s="10">
        <f>G27-H27-I27</f>
        <v/>
      </c>
      <c r="S27" s="10">
        <f>G27/Supuestos!$B$52*Supuestos!$B$51-F27*Supuestos!$B$46*Supuestos!$B$51-I27</f>
        <v/>
      </c>
      <c r="T27" s="10">
        <f>G27/Supuestos!$B$52*Supuestos!$B$53-F27*Supuestos!$B$46*Supuestos!$B$53-I27</f>
        <v/>
      </c>
      <c r="U27" s="60">
        <f>IF(AND(A27&gt;4,S27&gt;0),1,0)</f>
        <v/>
      </c>
      <c r="V27" s="60">
        <f>IF(AND(A27&gt;4,R27&gt;0),1,0)</f>
        <v/>
      </c>
      <c r="W27" s="60">
        <f>IF(AND(A27&gt;4,T27&gt;0),1,0)</f>
        <v/>
      </c>
      <c r="X27" s="60">
        <f>IF(AND(A27&gt;4,O27&gt;0),1,0)</f>
        <v/>
      </c>
      <c r="Y27" s="60">
        <f>IF(AND(A27&gt;4,M27&gt;0),1,0)</f>
        <v/>
      </c>
      <c r="Z27" s="60">
        <f>IF(AND(A27&gt;4,Q27&gt;0),1,0)</f>
        <v/>
      </c>
    </row>
    <row r="28">
      <c r="A28" s="61" t="n">
        <v>24</v>
      </c>
      <c r="B28" s="6" t="inlineStr">
        <is>
          <t>Operación</t>
        </is>
      </c>
      <c r="C28" s="14" t="n">
        <v>48</v>
      </c>
      <c r="D28" s="14" t="n">
        <v>19</v>
      </c>
      <c r="E28" s="14" t="n">
        <v>2</v>
      </c>
      <c r="F28" s="14">
        <f>C28*Supuestos!$C$35+D28*Supuestos!$C$36+E28*Supuestos!$C$37</f>
        <v/>
      </c>
      <c r="G28" s="10">
        <f>(C28*Supuestos!$B$35+D28*Supuestos!$B$36+E28*Supuestos!$B$37)*Supuestos!$B$52</f>
        <v/>
      </c>
      <c r="H28" s="10">
        <f>F28*Supuestos!$B$46*Supuestos!$B$52</f>
        <v/>
      </c>
      <c r="I28" s="10">
        <f>IF(A28&lt;=3,0,Infraestructura!$D$20)</f>
        <v/>
      </c>
      <c r="J28" s="10">
        <f>-Costo_Desarrollo!$D$23*0</f>
        <v/>
      </c>
      <c r="K28" s="10">
        <f>IF(Supuestos!$B$10=2,Costo_Desarrollo!$G$23*0,0)</f>
        <v/>
      </c>
      <c r="L28" s="10">
        <f>G28-H28-I28+J28+K28</f>
        <v/>
      </c>
      <c r="M28" s="10">
        <f>M27+L28</f>
        <v/>
      </c>
      <c r="N28" s="10">
        <f>G28/Supuestos!$B$52*Supuestos!$B$51-F28*Supuestos!$B$46*Supuestos!$B$51-I28+J28+K28</f>
        <v/>
      </c>
      <c r="O28" s="10">
        <f>O27+N28</f>
        <v/>
      </c>
      <c r="P28" s="10">
        <f>G28/Supuestos!$B$52*Supuestos!$B$53-F28*Supuestos!$B$46*Supuestos!$B$53-I28+J28+K28</f>
        <v/>
      </c>
      <c r="Q28" s="10">
        <f>Q27+P28</f>
        <v/>
      </c>
      <c r="R28" s="10">
        <f>G28-H28-I28</f>
        <v/>
      </c>
      <c r="S28" s="10">
        <f>G28/Supuestos!$B$52*Supuestos!$B$51-F28*Supuestos!$B$46*Supuestos!$B$51-I28</f>
        <v/>
      </c>
      <c r="T28" s="10">
        <f>G28/Supuestos!$B$52*Supuestos!$B$53-F28*Supuestos!$B$46*Supuestos!$B$53-I28</f>
        <v/>
      </c>
      <c r="U28" s="60">
        <f>IF(AND(A28&gt;4,S28&gt;0),1,0)</f>
        <v/>
      </c>
      <c r="V28" s="60">
        <f>IF(AND(A28&gt;4,R28&gt;0),1,0)</f>
        <v/>
      </c>
      <c r="W28" s="60">
        <f>IF(AND(A28&gt;4,T28&gt;0),1,0)</f>
        <v/>
      </c>
      <c r="X28" s="60">
        <f>IF(AND(A28&gt;4,O28&gt;0),1,0)</f>
        <v/>
      </c>
      <c r="Y28" s="60">
        <f>IF(AND(A28&gt;4,M28&gt;0),1,0)</f>
        <v/>
      </c>
      <c r="Z28" s="60">
        <f>IF(AND(A28&gt;4,Q28&gt;0),1,0)</f>
        <v/>
      </c>
    </row>
    <row r="29">
      <c r="A29" s="61" t="n">
        <v>25</v>
      </c>
      <c r="B29" s="6" t="inlineStr">
        <is>
          <t>Operación</t>
        </is>
      </c>
      <c r="C29" s="14" t="n">
        <v>50</v>
      </c>
      <c r="D29" s="14" t="n">
        <v>20</v>
      </c>
      <c r="E29" s="14" t="n">
        <v>2</v>
      </c>
      <c r="F29" s="14">
        <f>C29*Supuestos!$C$35+D29*Supuestos!$C$36+E29*Supuestos!$C$37</f>
        <v/>
      </c>
      <c r="G29" s="10">
        <f>(C29*Supuestos!$B$35+D29*Supuestos!$B$36+E29*Supuestos!$B$37)*Supuestos!$B$52</f>
        <v/>
      </c>
      <c r="H29" s="10">
        <f>F29*Supuestos!$B$46*Supuestos!$B$52</f>
        <v/>
      </c>
      <c r="I29" s="10">
        <f>IF(A29&lt;=3,0,Infraestructura!$D$20)</f>
        <v/>
      </c>
      <c r="J29" s="10">
        <f>-Costo_Desarrollo!$D$23*0</f>
        <v/>
      </c>
      <c r="K29" s="10">
        <f>IF(Supuestos!$B$10=2,Costo_Desarrollo!$G$23*0,0)</f>
        <v/>
      </c>
      <c r="L29" s="10">
        <f>G29-H29-I29+J29+K29</f>
        <v/>
      </c>
      <c r="M29" s="10">
        <f>M28+L29</f>
        <v/>
      </c>
      <c r="N29" s="10">
        <f>G29/Supuestos!$B$52*Supuestos!$B$51-F29*Supuestos!$B$46*Supuestos!$B$51-I29+J29+K29</f>
        <v/>
      </c>
      <c r="O29" s="10">
        <f>O28+N29</f>
        <v/>
      </c>
      <c r="P29" s="10">
        <f>G29/Supuestos!$B$52*Supuestos!$B$53-F29*Supuestos!$B$46*Supuestos!$B$53-I29+J29+K29</f>
        <v/>
      </c>
      <c r="Q29" s="10">
        <f>Q28+P29</f>
        <v/>
      </c>
      <c r="R29" s="10">
        <f>G29-H29-I29</f>
        <v/>
      </c>
      <c r="S29" s="10">
        <f>G29/Supuestos!$B$52*Supuestos!$B$51-F29*Supuestos!$B$46*Supuestos!$B$51-I29</f>
        <v/>
      </c>
      <c r="T29" s="10">
        <f>G29/Supuestos!$B$52*Supuestos!$B$53-F29*Supuestos!$B$46*Supuestos!$B$53-I29</f>
        <v/>
      </c>
      <c r="U29" s="60">
        <f>IF(AND(A29&gt;4,S29&gt;0),1,0)</f>
        <v/>
      </c>
      <c r="V29" s="60">
        <f>IF(AND(A29&gt;4,R29&gt;0),1,0)</f>
        <v/>
      </c>
      <c r="W29" s="60">
        <f>IF(AND(A29&gt;4,T29&gt;0),1,0)</f>
        <v/>
      </c>
      <c r="X29" s="60">
        <f>IF(AND(A29&gt;4,O29&gt;0),1,0)</f>
        <v/>
      </c>
      <c r="Y29" s="60">
        <f>IF(AND(A29&gt;4,M29&gt;0),1,0)</f>
        <v/>
      </c>
      <c r="Z29" s="60">
        <f>IF(AND(A29&gt;4,Q29&gt;0),1,0)</f>
        <v/>
      </c>
    </row>
    <row r="30">
      <c r="A30" s="61" t="n">
        <v>26</v>
      </c>
      <c r="B30" s="6" t="inlineStr">
        <is>
          <t>Operación</t>
        </is>
      </c>
      <c r="C30" s="14" t="n">
        <v>51</v>
      </c>
      <c r="D30" s="14" t="n">
        <v>20</v>
      </c>
      <c r="E30" s="14" t="n">
        <v>2</v>
      </c>
      <c r="F30" s="14">
        <f>C30*Supuestos!$C$35+D30*Supuestos!$C$36+E30*Supuestos!$C$37</f>
        <v/>
      </c>
      <c r="G30" s="10">
        <f>(C30*Supuestos!$B$35+D30*Supuestos!$B$36+E30*Supuestos!$B$37)*Supuestos!$B$52</f>
        <v/>
      </c>
      <c r="H30" s="10">
        <f>F30*Supuestos!$B$46*Supuestos!$B$52</f>
        <v/>
      </c>
      <c r="I30" s="10">
        <f>IF(A30&lt;=3,0,Infraestructura!$D$20)</f>
        <v/>
      </c>
      <c r="J30" s="10">
        <f>-Costo_Desarrollo!$D$23*0</f>
        <v/>
      </c>
      <c r="K30" s="10">
        <f>IF(Supuestos!$B$10=2,Costo_Desarrollo!$G$23*0,0)</f>
        <v/>
      </c>
      <c r="L30" s="10">
        <f>G30-H30-I30+J30+K30</f>
        <v/>
      </c>
      <c r="M30" s="10">
        <f>M29+L30</f>
        <v/>
      </c>
      <c r="N30" s="10">
        <f>G30/Supuestos!$B$52*Supuestos!$B$51-F30*Supuestos!$B$46*Supuestos!$B$51-I30+J30+K30</f>
        <v/>
      </c>
      <c r="O30" s="10">
        <f>O29+N30</f>
        <v/>
      </c>
      <c r="P30" s="10">
        <f>G30/Supuestos!$B$52*Supuestos!$B$53-F30*Supuestos!$B$46*Supuestos!$B$53-I30+J30+K30</f>
        <v/>
      </c>
      <c r="Q30" s="10">
        <f>Q29+P30</f>
        <v/>
      </c>
      <c r="R30" s="10">
        <f>G30-H30-I30</f>
        <v/>
      </c>
      <c r="S30" s="10">
        <f>G30/Supuestos!$B$52*Supuestos!$B$51-F30*Supuestos!$B$46*Supuestos!$B$51-I30</f>
        <v/>
      </c>
      <c r="T30" s="10">
        <f>G30/Supuestos!$B$52*Supuestos!$B$53-F30*Supuestos!$B$46*Supuestos!$B$53-I30</f>
        <v/>
      </c>
      <c r="U30" s="60">
        <f>IF(AND(A30&gt;4,S30&gt;0),1,0)</f>
        <v/>
      </c>
      <c r="V30" s="60">
        <f>IF(AND(A30&gt;4,R30&gt;0),1,0)</f>
        <v/>
      </c>
      <c r="W30" s="60">
        <f>IF(AND(A30&gt;4,T30&gt;0),1,0)</f>
        <v/>
      </c>
      <c r="X30" s="60">
        <f>IF(AND(A30&gt;4,O30&gt;0),1,0)</f>
        <v/>
      </c>
      <c r="Y30" s="60">
        <f>IF(AND(A30&gt;4,M30&gt;0),1,0)</f>
        <v/>
      </c>
      <c r="Z30" s="60">
        <f>IF(AND(A30&gt;4,Q30&gt;0),1,0)</f>
        <v/>
      </c>
    </row>
    <row r="31">
      <c r="A31" s="61" t="n">
        <v>27</v>
      </c>
      <c r="B31" s="6" t="inlineStr">
        <is>
          <t>Operación</t>
        </is>
      </c>
      <c r="C31" s="14" t="n">
        <v>52</v>
      </c>
      <c r="D31" s="14" t="n">
        <v>20</v>
      </c>
      <c r="E31" s="14" t="n">
        <v>2</v>
      </c>
      <c r="F31" s="14">
        <f>C31*Supuestos!$C$35+D31*Supuestos!$C$36+E31*Supuestos!$C$37</f>
        <v/>
      </c>
      <c r="G31" s="10">
        <f>(C31*Supuestos!$B$35+D31*Supuestos!$B$36+E31*Supuestos!$B$37)*Supuestos!$B$52</f>
        <v/>
      </c>
      <c r="H31" s="10">
        <f>F31*Supuestos!$B$46*Supuestos!$B$52</f>
        <v/>
      </c>
      <c r="I31" s="10">
        <f>IF(A31&lt;=3,0,Infraestructura!$D$20)</f>
        <v/>
      </c>
      <c r="J31" s="10">
        <f>-Costo_Desarrollo!$D$23*0</f>
        <v/>
      </c>
      <c r="K31" s="10">
        <f>IF(Supuestos!$B$10=2,Costo_Desarrollo!$G$23*0,0)</f>
        <v/>
      </c>
      <c r="L31" s="10">
        <f>G31-H31-I31+J31+K31</f>
        <v/>
      </c>
      <c r="M31" s="10">
        <f>M30+L31</f>
        <v/>
      </c>
      <c r="N31" s="10">
        <f>G31/Supuestos!$B$52*Supuestos!$B$51-F31*Supuestos!$B$46*Supuestos!$B$51-I31+J31+K31</f>
        <v/>
      </c>
      <c r="O31" s="10">
        <f>O30+N31</f>
        <v/>
      </c>
      <c r="P31" s="10">
        <f>G31/Supuestos!$B$52*Supuestos!$B$53-F31*Supuestos!$B$46*Supuestos!$B$53-I31+J31+K31</f>
        <v/>
      </c>
      <c r="Q31" s="10">
        <f>Q30+P31</f>
        <v/>
      </c>
      <c r="R31" s="10">
        <f>G31-H31-I31</f>
        <v/>
      </c>
      <c r="S31" s="10">
        <f>G31/Supuestos!$B$52*Supuestos!$B$51-F31*Supuestos!$B$46*Supuestos!$B$51-I31</f>
        <v/>
      </c>
      <c r="T31" s="10">
        <f>G31/Supuestos!$B$52*Supuestos!$B$53-F31*Supuestos!$B$46*Supuestos!$B$53-I31</f>
        <v/>
      </c>
      <c r="U31" s="60">
        <f>IF(AND(A31&gt;4,S31&gt;0),1,0)</f>
        <v/>
      </c>
      <c r="V31" s="60">
        <f>IF(AND(A31&gt;4,R31&gt;0),1,0)</f>
        <v/>
      </c>
      <c r="W31" s="60">
        <f>IF(AND(A31&gt;4,T31&gt;0),1,0)</f>
        <v/>
      </c>
      <c r="X31" s="60">
        <f>IF(AND(A31&gt;4,O31&gt;0),1,0)</f>
        <v/>
      </c>
      <c r="Y31" s="60">
        <f>IF(AND(A31&gt;4,M31&gt;0),1,0)</f>
        <v/>
      </c>
      <c r="Z31" s="60">
        <f>IF(AND(A31&gt;4,Q31&gt;0),1,0)</f>
        <v/>
      </c>
    </row>
    <row r="32">
      <c r="A32" s="61" t="n">
        <v>28</v>
      </c>
      <c r="B32" s="6" t="inlineStr">
        <is>
          <t>Operación</t>
        </is>
      </c>
      <c r="C32" s="14" t="n">
        <v>54</v>
      </c>
      <c r="D32" s="14" t="n">
        <v>21</v>
      </c>
      <c r="E32" s="14" t="n">
        <v>2</v>
      </c>
      <c r="F32" s="14">
        <f>C32*Supuestos!$C$35+D32*Supuestos!$C$36+E32*Supuestos!$C$37</f>
        <v/>
      </c>
      <c r="G32" s="10">
        <f>(C32*Supuestos!$B$35+D32*Supuestos!$B$36+E32*Supuestos!$B$37)*Supuestos!$B$52</f>
        <v/>
      </c>
      <c r="H32" s="10">
        <f>F32*Supuestos!$B$46*Supuestos!$B$52</f>
        <v/>
      </c>
      <c r="I32" s="10">
        <f>IF(A32&lt;=3,0,Infraestructura!$D$20)</f>
        <v/>
      </c>
      <c r="J32" s="10">
        <f>-Costo_Desarrollo!$D$23*0</f>
        <v/>
      </c>
      <c r="K32" s="10">
        <f>IF(Supuestos!$B$10=2,Costo_Desarrollo!$G$23*0,0)</f>
        <v/>
      </c>
      <c r="L32" s="10">
        <f>G32-H32-I32+J32+K32</f>
        <v/>
      </c>
      <c r="M32" s="10">
        <f>M31+L32</f>
        <v/>
      </c>
      <c r="N32" s="10">
        <f>G32/Supuestos!$B$52*Supuestos!$B$51-F32*Supuestos!$B$46*Supuestos!$B$51-I32+J32+K32</f>
        <v/>
      </c>
      <c r="O32" s="10">
        <f>O31+N32</f>
        <v/>
      </c>
      <c r="P32" s="10">
        <f>G32/Supuestos!$B$52*Supuestos!$B$53-F32*Supuestos!$B$46*Supuestos!$B$53-I32+J32+K32</f>
        <v/>
      </c>
      <c r="Q32" s="10">
        <f>Q31+P32</f>
        <v/>
      </c>
      <c r="R32" s="10">
        <f>G32-H32-I32</f>
        <v/>
      </c>
      <c r="S32" s="10">
        <f>G32/Supuestos!$B$52*Supuestos!$B$51-F32*Supuestos!$B$46*Supuestos!$B$51-I32</f>
        <v/>
      </c>
      <c r="T32" s="10">
        <f>G32/Supuestos!$B$52*Supuestos!$B$53-F32*Supuestos!$B$46*Supuestos!$B$53-I32</f>
        <v/>
      </c>
      <c r="U32" s="60">
        <f>IF(AND(A32&gt;4,S32&gt;0),1,0)</f>
        <v/>
      </c>
      <c r="V32" s="60">
        <f>IF(AND(A32&gt;4,R32&gt;0),1,0)</f>
        <v/>
      </c>
      <c r="W32" s="60">
        <f>IF(AND(A32&gt;4,T32&gt;0),1,0)</f>
        <v/>
      </c>
      <c r="X32" s="60">
        <f>IF(AND(A32&gt;4,O32&gt;0),1,0)</f>
        <v/>
      </c>
      <c r="Y32" s="60">
        <f>IF(AND(A32&gt;4,M32&gt;0),1,0)</f>
        <v/>
      </c>
      <c r="Z32" s="60">
        <f>IF(AND(A32&gt;4,Q32&gt;0),1,0)</f>
        <v/>
      </c>
    </row>
    <row r="33">
      <c r="A33" s="61" t="n">
        <v>29</v>
      </c>
      <c r="B33" s="6" t="inlineStr">
        <is>
          <t>Operación</t>
        </is>
      </c>
      <c r="C33" s="14" t="n">
        <v>56</v>
      </c>
      <c r="D33" s="14" t="n">
        <v>22</v>
      </c>
      <c r="E33" s="14" t="n">
        <v>2</v>
      </c>
      <c r="F33" s="14">
        <f>C33*Supuestos!$C$35+D33*Supuestos!$C$36+E33*Supuestos!$C$37</f>
        <v/>
      </c>
      <c r="G33" s="10">
        <f>(C33*Supuestos!$B$35+D33*Supuestos!$B$36+E33*Supuestos!$B$37)*Supuestos!$B$52</f>
        <v/>
      </c>
      <c r="H33" s="10">
        <f>F33*Supuestos!$B$46*Supuestos!$B$52</f>
        <v/>
      </c>
      <c r="I33" s="10">
        <f>IF(A33&lt;=3,0,Infraestructura!$D$20)</f>
        <v/>
      </c>
      <c r="J33" s="10">
        <f>-Costo_Desarrollo!$D$23*0</f>
        <v/>
      </c>
      <c r="K33" s="10">
        <f>IF(Supuestos!$B$10=2,Costo_Desarrollo!$G$23*0,0)</f>
        <v/>
      </c>
      <c r="L33" s="10">
        <f>G33-H33-I33+J33+K33</f>
        <v/>
      </c>
      <c r="M33" s="10">
        <f>M32+L33</f>
        <v/>
      </c>
      <c r="N33" s="10">
        <f>G33/Supuestos!$B$52*Supuestos!$B$51-F33*Supuestos!$B$46*Supuestos!$B$51-I33+J33+K33</f>
        <v/>
      </c>
      <c r="O33" s="10">
        <f>O32+N33</f>
        <v/>
      </c>
      <c r="P33" s="10">
        <f>G33/Supuestos!$B$52*Supuestos!$B$53-F33*Supuestos!$B$46*Supuestos!$B$53-I33+J33+K33</f>
        <v/>
      </c>
      <c r="Q33" s="10">
        <f>Q32+P33</f>
        <v/>
      </c>
      <c r="R33" s="10">
        <f>G33-H33-I33</f>
        <v/>
      </c>
      <c r="S33" s="10">
        <f>G33/Supuestos!$B$52*Supuestos!$B$51-F33*Supuestos!$B$46*Supuestos!$B$51-I33</f>
        <v/>
      </c>
      <c r="T33" s="10">
        <f>G33/Supuestos!$B$52*Supuestos!$B$53-F33*Supuestos!$B$46*Supuestos!$B$53-I33</f>
        <v/>
      </c>
      <c r="U33" s="60">
        <f>IF(AND(A33&gt;4,S33&gt;0),1,0)</f>
        <v/>
      </c>
      <c r="V33" s="60">
        <f>IF(AND(A33&gt;4,R33&gt;0),1,0)</f>
        <v/>
      </c>
      <c r="W33" s="60">
        <f>IF(AND(A33&gt;4,T33&gt;0),1,0)</f>
        <v/>
      </c>
      <c r="X33" s="60">
        <f>IF(AND(A33&gt;4,O33&gt;0),1,0)</f>
        <v/>
      </c>
      <c r="Y33" s="60">
        <f>IF(AND(A33&gt;4,M33&gt;0),1,0)</f>
        <v/>
      </c>
      <c r="Z33" s="60">
        <f>IF(AND(A33&gt;4,Q33&gt;0),1,0)</f>
        <v/>
      </c>
    </row>
    <row r="34">
      <c r="A34" s="61" t="n">
        <v>30</v>
      </c>
      <c r="B34" s="6" t="inlineStr">
        <is>
          <t>Operación</t>
        </is>
      </c>
      <c r="C34" s="14" t="n">
        <v>57</v>
      </c>
      <c r="D34" s="14" t="n">
        <v>22</v>
      </c>
      <c r="E34" s="14" t="n">
        <v>3</v>
      </c>
      <c r="F34" s="14">
        <f>C34*Supuestos!$C$35+D34*Supuestos!$C$36+E34*Supuestos!$C$37</f>
        <v/>
      </c>
      <c r="G34" s="10">
        <f>(C34*Supuestos!$B$35+D34*Supuestos!$B$36+E34*Supuestos!$B$37)*Supuestos!$B$52</f>
        <v/>
      </c>
      <c r="H34" s="10">
        <f>F34*Supuestos!$B$46*Supuestos!$B$52</f>
        <v/>
      </c>
      <c r="I34" s="10">
        <f>IF(A34&lt;=3,0,Infraestructura!$D$20)</f>
        <v/>
      </c>
      <c r="J34" s="10">
        <f>-Costo_Desarrollo!$D$23*0</f>
        <v/>
      </c>
      <c r="K34" s="10">
        <f>IF(Supuestos!$B$10=2,Costo_Desarrollo!$G$23*0,0)</f>
        <v/>
      </c>
      <c r="L34" s="10">
        <f>G34-H34-I34+J34+K34</f>
        <v/>
      </c>
      <c r="M34" s="10">
        <f>M33+L34</f>
        <v/>
      </c>
      <c r="N34" s="10">
        <f>G34/Supuestos!$B$52*Supuestos!$B$51-F34*Supuestos!$B$46*Supuestos!$B$51-I34+J34+K34</f>
        <v/>
      </c>
      <c r="O34" s="10">
        <f>O33+N34</f>
        <v/>
      </c>
      <c r="P34" s="10">
        <f>G34/Supuestos!$B$52*Supuestos!$B$53-F34*Supuestos!$B$46*Supuestos!$B$53-I34+J34+K34</f>
        <v/>
      </c>
      <c r="Q34" s="10">
        <f>Q33+P34</f>
        <v/>
      </c>
      <c r="R34" s="10">
        <f>G34-H34-I34</f>
        <v/>
      </c>
      <c r="S34" s="10">
        <f>G34/Supuestos!$B$52*Supuestos!$B$51-F34*Supuestos!$B$46*Supuestos!$B$51-I34</f>
        <v/>
      </c>
      <c r="T34" s="10">
        <f>G34/Supuestos!$B$52*Supuestos!$B$53-F34*Supuestos!$B$46*Supuestos!$B$53-I34</f>
        <v/>
      </c>
      <c r="U34" s="60">
        <f>IF(AND(A34&gt;4,S34&gt;0),1,0)</f>
        <v/>
      </c>
      <c r="V34" s="60">
        <f>IF(AND(A34&gt;4,R34&gt;0),1,0)</f>
        <v/>
      </c>
      <c r="W34" s="60">
        <f>IF(AND(A34&gt;4,T34&gt;0),1,0)</f>
        <v/>
      </c>
      <c r="X34" s="60">
        <f>IF(AND(A34&gt;4,O34&gt;0),1,0)</f>
        <v/>
      </c>
      <c r="Y34" s="60">
        <f>IF(AND(A34&gt;4,M34&gt;0),1,0)</f>
        <v/>
      </c>
      <c r="Z34" s="60">
        <f>IF(AND(A34&gt;4,Q34&gt;0),1,0)</f>
        <v/>
      </c>
    </row>
    <row r="35">
      <c r="A35" s="61" t="n">
        <v>31</v>
      </c>
      <c r="B35" s="6" t="inlineStr">
        <is>
          <t>Operación</t>
        </is>
      </c>
      <c r="C35" s="14" t="n">
        <v>58</v>
      </c>
      <c r="D35" s="14" t="n">
        <v>22</v>
      </c>
      <c r="E35" s="14" t="n">
        <v>3</v>
      </c>
      <c r="F35" s="14">
        <f>C35*Supuestos!$C$35+D35*Supuestos!$C$36+E35*Supuestos!$C$37</f>
        <v/>
      </c>
      <c r="G35" s="10">
        <f>(C35*Supuestos!$B$35+D35*Supuestos!$B$36+E35*Supuestos!$B$37)*Supuestos!$B$52</f>
        <v/>
      </c>
      <c r="H35" s="10">
        <f>F35*Supuestos!$B$46*Supuestos!$B$52</f>
        <v/>
      </c>
      <c r="I35" s="10">
        <f>IF(A35&lt;=3,0,Infraestructura!$D$20)</f>
        <v/>
      </c>
      <c r="J35" s="10">
        <f>-Costo_Desarrollo!$D$23*0</f>
        <v/>
      </c>
      <c r="K35" s="10">
        <f>IF(Supuestos!$B$10=2,Costo_Desarrollo!$G$23*0,0)</f>
        <v/>
      </c>
      <c r="L35" s="10">
        <f>G35-H35-I35+J35+K35</f>
        <v/>
      </c>
      <c r="M35" s="10">
        <f>M34+L35</f>
        <v/>
      </c>
      <c r="N35" s="10">
        <f>G35/Supuestos!$B$52*Supuestos!$B$51-F35*Supuestos!$B$46*Supuestos!$B$51-I35+J35+K35</f>
        <v/>
      </c>
      <c r="O35" s="10">
        <f>O34+N35</f>
        <v/>
      </c>
      <c r="P35" s="10">
        <f>G35/Supuestos!$B$52*Supuestos!$B$53-F35*Supuestos!$B$46*Supuestos!$B$53-I35+J35+K35</f>
        <v/>
      </c>
      <c r="Q35" s="10">
        <f>Q34+P35</f>
        <v/>
      </c>
      <c r="R35" s="10">
        <f>G35-H35-I35</f>
        <v/>
      </c>
      <c r="S35" s="10">
        <f>G35/Supuestos!$B$52*Supuestos!$B$51-F35*Supuestos!$B$46*Supuestos!$B$51-I35</f>
        <v/>
      </c>
      <c r="T35" s="10">
        <f>G35/Supuestos!$B$52*Supuestos!$B$53-F35*Supuestos!$B$46*Supuestos!$B$53-I35</f>
        <v/>
      </c>
      <c r="U35" s="60">
        <f>IF(AND(A35&gt;4,S35&gt;0),1,0)</f>
        <v/>
      </c>
      <c r="V35" s="60">
        <f>IF(AND(A35&gt;4,R35&gt;0),1,0)</f>
        <v/>
      </c>
      <c r="W35" s="60">
        <f>IF(AND(A35&gt;4,T35&gt;0),1,0)</f>
        <v/>
      </c>
      <c r="X35" s="60">
        <f>IF(AND(A35&gt;4,O35&gt;0),1,0)</f>
        <v/>
      </c>
      <c r="Y35" s="60">
        <f>IF(AND(A35&gt;4,M35&gt;0),1,0)</f>
        <v/>
      </c>
      <c r="Z35" s="60">
        <f>IF(AND(A35&gt;4,Q35&gt;0),1,0)</f>
        <v/>
      </c>
    </row>
    <row r="36">
      <c r="A36" s="61" t="n">
        <v>32</v>
      </c>
      <c r="B36" s="6" t="inlineStr">
        <is>
          <t>Operación</t>
        </is>
      </c>
      <c r="C36" s="14" t="n">
        <v>60</v>
      </c>
      <c r="D36" s="14" t="n">
        <v>23</v>
      </c>
      <c r="E36" s="14" t="n">
        <v>3</v>
      </c>
      <c r="F36" s="14">
        <f>C36*Supuestos!$C$35+D36*Supuestos!$C$36+E36*Supuestos!$C$37</f>
        <v/>
      </c>
      <c r="G36" s="10">
        <f>(C36*Supuestos!$B$35+D36*Supuestos!$B$36+E36*Supuestos!$B$37)*Supuestos!$B$52</f>
        <v/>
      </c>
      <c r="H36" s="10">
        <f>F36*Supuestos!$B$46*Supuestos!$B$52</f>
        <v/>
      </c>
      <c r="I36" s="10">
        <f>IF(A36&lt;=3,0,Infraestructura!$D$20)</f>
        <v/>
      </c>
      <c r="J36" s="10">
        <f>-Costo_Desarrollo!$D$23*0</f>
        <v/>
      </c>
      <c r="K36" s="10">
        <f>IF(Supuestos!$B$10=2,Costo_Desarrollo!$G$23*0,0)</f>
        <v/>
      </c>
      <c r="L36" s="10">
        <f>G36-H36-I36+J36+K36</f>
        <v/>
      </c>
      <c r="M36" s="10">
        <f>M35+L36</f>
        <v/>
      </c>
      <c r="N36" s="10">
        <f>G36/Supuestos!$B$52*Supuestos!$B$51-F36*Supuestos!$B$46*Supuestos!$B$51-I36+J36+K36</f>
        <v/>
      </c>
      <c r="O36" s="10">
        <f>O35+N36</f>
        <v/>
      </c>
      <c r="P36" s="10">
        <f>G36/Supuestos!$B$52*Supuestos!$B$53-F36*Supuestos!$B$46*Supuestos!$B$53-I36+J36+K36</f>
        <v/>
      </c>
      <c r="Q36" s="10">
        <f>Q35+P36</f>
        <v/>
      </c>
      <c r="R36" s="10">
        <f>G36-H36-I36</f>
        <v/>
      </c>
      <c r="S36" s="10">
        <f>G36/Supuestos!$B$52*Supuestos!$B$51-F36*Supuestos!$B$46*Supuestos!$B$51-I36</f>
        <v/>
      </c>
      <c r="T36" s="10">
        <f>G36/Supuestos!$B$52*Supuestos!$B$53-F36*Supuestos!$B$46*Supuestos!$B$53-I36</f>
        <v/>
      </c>
      <c r="U36" s="60">
        <f>IF(AND(A36&gt;4,S36&gt;0),1,0)</f>
        <v/>
      </c>
      <c r="V36" s="60">
        <f>IF(AND(A36&gt;4,R36&gt;0),1,0)</f>
        <v/>
      </c>
      <c r="W36" s="60">
        <f>IF(AND(A36&gt;4,T36&gt;0),1,0)</f>
        <v/>
      </c>
      <c r="X36" s="60">
        <f>IF(AND(A36&gt;4,O36&gt;0),1,0)</f>
        <v/>
      </c>
      <c r="Y36" s="60">
        <f>IF(AND(A36&gt;4,M36&gt;0),1,0)</f>
        <v/>
      </c>
      <c r="Z36" s="60">
        <f>IF(AND(A36&gt;4,Q36&gt;0),1,0)</f>
        <v/>
      </c>
    </row>
    <row r="37">
      <c r="A37" s="61" t="n">
        <v>33</v>
      </c>
      <c r="B37" s="6" t="inlineStr">
        <is>
          <t>Operación</t>
        </is>
      </c>
      <c r="C37" s="14" t="n">
        <v>62</v>
      </c>
      <c r="D37" s="14" t="n">
        <v>24</v>
      </c>
      <c r="E37" s="14" t="n">
        <v>3</v>
      </c>
      <c r="F37" s="14">
        <f>C37*Supuestos!$C$35+D37*Supuestos!$C$36+E37*Supuestos!$C$37</f>
        <v/>
      </c>
      <c r="G37" s="10">
        <f>(C37*Supuestos!$B$35+D37*Supuestos!$B$36+E37*Supuestos!$B$37)*Supuestos!$B$52</f>
        <v/>
      </c>
      <c r="H37" s="10">
        <f>F37*Supuestos!$B$46*Supuestos!$B$52</f>
        <v/>
      </c>
      <c r="I37" s="10">
        <f>IF(A37&lt;=3,0,Infraestructura!$D$20)</f>
        <v/>
      </c>
      <c r="J37" s="10">
        <f>-Costo_Desarrollo!$D$23*0</f>
        <v/>
      </c>
      <c r="K37" s="10">
        <f>IF(Supuestos!$B$10=2,Costo_Desarrollo!$G$23*0,0)</f>
        <v/>
      </c>
      <c r="L37" s="10">
        <f>G37-H37-I37+J37+K37</f>
        <v/>
      </c>
      <c r="M37" s="10">
        <f>M36+L37</f>
        <v/>
      </c>
      <c r="N37" s="10">
        <f>G37/Supuestos!$B$52*Supuestos!$B$51-F37*Supuestos!$B$46*Supuestos!$B$51-I37+J37+K37</f>
        <v/>
      </c>
      <c r="O37" s="10">
        <f>O36+N37</f>
        <v/>
      </c>
      <c r="P37" s="10">
        <f>G37/Supuestos!$B$52*Supuestos!$B$53-F37*Supuestos!$B$46*Supuestos!$B$53-I37+J37+K37</f>
        <v/>
      </c>
      <c r="Q37" s="10">
        <f>Q36+P37</f>
        <v/>
      </c>
      <c r="R37" s="10">
        <f>G37-H37-I37</f>
        <v/>
      </c>
      <c r="S37" s="10">
        <f>G37/Supuestos!$B$52*Supuestos!$B$51-F37*Supuestos!$B$46*Supuestos!$B$51-I37</f>
        <v/>
      </c>
      <c r="T37" s="10">
        <f>G37/Supuestos!$B$52*Supuestos!$B$53-F37*Supuestos!$B$46*Supuestos!$B$53-I37</f>
        <v/>
      </c>
      <c r="U37" s="60">
        <f>IF(AND(A37&gt;4,S37&gt;0),1,0)</f>
        <v/>
      </c>
      <c r="V37" s="60">
        <f>IF(AND(A37&gt;4,R37&gt;0),1,0)</f>
        <v/>
      </c>
      <c r="W37" s="60">
        <f>IF(AND(A37&gt;4,T37&gt;0),1,0)</f>
        <v/>
      </c>
      <c r="X37" s="60">
        <f>IF(AND(A37&gt;4,O37&gt;0),1,0)</f>
        <v/>
      </c>
      <c r="Y37" s="60">
        <f>IF(AND(A37&gt;4,M37&gt;0),1,0)</f>
        <v/>
      </c>
      <c r="Z37" s="60">
        <f>IF(AND(A37&gt;4,Q37&gt;0),1,0)</f>
        <v/>
      </c>
    </row>
    <row r="38">
      <c r="A38" s="61" t="n">
        <v>34</v>
      </c>
      <c r="B38" s="6" t="inlineStr">
        <is>
          <t>Operación</t>
        </is>
      </c>
      <c r="C38" s="14" t="n">
        <v>63</v>
      </c>
      <c r="D38" s="14" t="n">
        <v>24</v>
      </c>
      <c r="E38" s="14" t="n">
        <v>3</v>
      </c>
      <c r="F38" s="14">
        <f>C38*Supuestos!$C$35+D38*Supuestos!$C$36+E38*Supuestos!$C$37</f>
        <v/>
      </c>
      <c r="G38" s="10">
        <f>(C38*Supuestos!$B$35+D38*Supuestos!$B$36+E38*Supuestos!$B$37)*Supuestos!$B$52</f>
        <v/>
      </c>
      <c r="H38" s="10">
        <f>F38*Supuestos!$B$46*Supuestos!$B$52</f>
        <v/>
      </c>
      <c r="I38" s="10">
        <f>IF(A38&lt;=3,0,Infraestructura!$D$20)</f>
        <v/>
      </c>
      <c r="J38" s="10">
        <f>-Costo_Desarrollo!$D$23*0</f>
        <v/>
      </c>
      <c r="K38" s="10">
        <f>IF(Supuestos!$B$10=2,Costo_Desarrollo!$G$23*0,0)</f>
        <v/>
      </c>
      <c r="L38" s="10">
        <f>G38-H38-I38+J38+K38</f>
        <v/>
      </c>
      <c r="M38" s="10">
        <f>M37+L38</f>
        <v/>
      </c>
      <c r="N38" s="10">
        <f>G38/Supuestos!$B$52*Supuestos!$B$51-F38*Supuestos!$B$46*Supuestos!$B$51-I38+J38+K38</f>
        <v/>
      </c>
      <c r="O38" s="10">
        <f>O37+N38</f>
        <v/>
      </c>
      <c r="P38" s="10">
        <f>G38/Supuestos!$B$52*Supuestos!$B$53-F38*Supuestos!$B$46*Supuestos!$B$53-I38+J38+K38</f>
        <v/>
      </c>
      <c r="Q38" s="10">
        <f>Q37+P38</f>
        <v/>
      </c>
      <c r="R38" s="10">
        <f>G38-H38-I38</f>
        <v/>
      </c>
      <c r="S38" s="10">
        <f>G38/Supuestos!$B$52*Supuestos!$B$51-F38*Supuestos!$B$46*Supuestos!$B$51-I38</f>
        <v/>
      </c>
      <c r="T38" s="10">
        <f>G38/Supuestos!$B$52*Supuestos!$B$53-F38*Supuestos!$B$46*Supuestos!$B$53-I38</f>
        <v/>
      </c>
      <c r="U38" s="60">
        <f>IF(AND(A38&gt;4,S38&gt;0),1,0)</f>
        <v/>
      </c>
      <c r="V38" s="60">
        <f>IF(AND(A38&gt;4,R38&gt;0),1,0)</f>
        <v/>
      </c>
      <c r="W38" s="60">
        <f>IF(AND(A38&gt;4,T38&gt;0),1,0)</f>
        <v/>
      </c>
      <c r="X38" s="60">
        <f>IF(AND(A38&gt;4,O38&gt;0),1,0)</f>
        <v/>
      </c>
      <c r="Y38" s="60">
        <f>IF(AND(A38&gt;4,M38&gt;0),1,0)</f>
        <v/>
      </c>
      <c r="Z38" s="60">
        <f>IF(AND(A38&gt;4,Q38&gt;0),1,0)</f>
        <v/>
      </c>
    </row>
    <row r="39">
      <c r="A39" s="61" t="n">
        <v>35</v>
      </c>
      <c r="B39" s="6" t="inlineStr">
        <is>
          <t>Operación</t>
        </is>
      </c>
      <c r="C39" s="14" t="n">
        <v>64</v>
      </c>
      <c r="D39" s="14" t="n">
        <v>24</v>
      </c>
      <c r="E39" s="14" t="n">
        <v>3</v>
      </c>
      <c r="F39" s="14">
        <f>C39*Supuestos!$C$35+D39*Supuestos!$C$36+E39*Supuestos!$C$37</f>
        <v/>
      </c>
      <c r="G39" s="10">
        <f>(C39*Supuestos!$B$35+D39*Supuestos!$B$36+E39*Supuestos!$B$37)*Supuestos!$B$52</f>
        <v/>
      </c>
      <c r="H39" s="10">
        <f>F39*Supuestos!$B$46*Supuestos!$B$52</f>
        <v/>
      </c>
      <c r="I39" s="10">
        <f>IF(A39&lt;=3,0,Infraestructura!$D$20)</f>
        <v/>
      </c>
      <c r="J39" s="10">
        <f>-Costo_Desarrollo!$D$23*0</f>
        <v/>
      </c>
      <c r="K39" s="10">
        <f>IF(Supuestos!$B$10=2,Costo_Desarrollo!$G$23*0,0)</f>
        <v/>
      </c>
      <c r="L39" s="10">
        <f>G39-H39-I39+J39+K39</f>
        <v/>
      </c>
      <c r="M39" s="10">
        <f>M38+L39</f>
        <v/>
      </c>
      <c r="N39" s="10">
        <f>G39/Supuestos!$B$52*Supuestos!$B$51-F39*Supuestos!$B$46*Supuestos!$B$51-I39+J39+K39</f>
        <v/>
      </c>
      <c r="O39" s="10">
        <f>O38+N39</f>
        <v/>
      </c>
      <c r="P39" s="10">
        <f>G39/Supuestos!$B$52*Supuestos!$B$53-F39*Supuestos!$B$46*Supuestos!$B$53-I39+J39+K39</f>
        <v/>
      </c>
      <c r="Q39" s="10">
        <f>Q38+P39</f>
        <v/>
      </c>
      <c r="R39" s="10">
        <f>G39-H39-I39</f>
        <v/>
      </c>
      <c r="S39" s="10">
        <f>G39/Supuestos!$B$52*Supuestos!$B$51-F39*Supuestos!$B$46*Supuestos!$B$51-I39</f>
        <v/>
      </c>
      <c r="T39" s="10">
        <f>G39/Supuestos!$B$52*Supuestos!$B$53-F39*Supuestos!$B$46*Supuestos!$B$53-I39</f>
        <v/>
      </c>
      <c r="U39" s="60">
        <f>IF(AND(A39&gt;4,S39&gt;0),1,0)</f>
        <v/>
      </c>
      <c r="V39" s="60">
        <f>IF(AND(A39&gt;4,R39&gt;0),1,0)</f>
        <v/>
      </c>
      <c r="W39" s="60">
        <f>IF(AND(A39&gt;4,T39&gt;0),1,0)</f>
        <v/>
      </c>
      <c r="X39" s="60">
        <f>IF(AND(A39&gt;4,O39&gt;0),1,0)</f>
        <v/>
      </c>
      <c r="Y39" s="60">
        <f>IF(AND(A39&gt;4,M39&gt;0),1,0)</f>
        <v/>
      </c>
      <c r="Z39" s="60">
        <f>IF(AND(A39&gt;4,Q39&gt;0),1,0)</f>
        <v/>
      </c>
    </row>
    <row r="40">
      <c r="A40" s="61" t="n">
        <v>36</v>
      </c>
      <c r="B40" s="6" t="inlineStr">
        <is>
          <t>Operación</t>
        </is>
      </c>
      <c r="C40" s="14" t="n">
        <v>66</v>
      </c>
      <c r="D40" s="14" t="n">
        <v>25</v>
      </c>
      <c r="E40" s="14" t="n">
        <v>3</v>
      </c>
      <c r="F40" s="14">
        <f>C40*Supuestos!$C$35+D40*Supuestos!$C$36+E40*Supuestos!$C$37</f>
        <v/>
      </c>
      <c r="G40" s="10">
        <f>(C40*Supuestos!$B$35+D40*Supuestos!$B$36+E40*Supuestos!$B$37)*Supuestos!$B$52</f>
        <v/>
      </c>
      <c r="H40" s="10">
        <f>F40*Supuestos!$B$46*Supuestos!$B$52</f>
        <v/>
      </c>
      <c r="I40" s="10">
        <f>IF(A40&lt;=3,0,Infraestructura!$D$20)</f>
        <v/>
      </c>
      <c r="J40" s="10">
        <f>-Costo_Desarrollo!$D$23*0</f>
        <v/>
      </c>
      <c r="K40" s="10">
        <f>IF(Supuestos!$B$10=2,Costo_Desarrollo!$G$23*0,0)</f>
        <v/>
      </c>
      <c r="L40" s="10">
        <f>G40-H40-I40+J40+K40</f>
        <v/>
      </c>
      <c r="M40" s="10">
        <f>M39+L40</f>
        <v/>
      </c>
      <c r="N40" s="10">
        <f>G40/Supuestos!$B$52*Supuestos!$B$51-F40*Supuestos!$B$46*Supuestos!$B$51-I40+J40+K40</f>
        <v/>
      </c>
      <c r="O40" s="10">
        <f>O39+N40</f>
        <v/>
      </c>
      <c r="P40" s="10">
        <f>G40/Supuestos!$B$52*Supuestos!$B$53-F40*Supuestos!$B$46*Supuestos!$B$53-I40+J40+K40</f>
        <v/>
      </c>
      <c r="Q40" s="10">
        <f>Q39+P40</f>
        <v/>
      </c>
      <c r="R40" s="10">
        <f>G40-H40-I40</f>
        <v/>
      </c>
      <c r="S40" s="10">
        <f>G40/Supuestos!$B$52*Supuestos!$B$51-F40*Supuestos!$B$46*Supuestos!$B$51-I40</f>
        <v/>
      </c>
      <c r="T40" s="10">
        <f>G40/Supuestos!$B$52*Supuestos!$B$53-F40*Supuestos!$B$46*Supuestos!$B$53-I40</f>
        <v/>
      </c>
      <c r="U40" s="60">
        <f>IF(AND(A40&gt;4,S40&gt;0),1,0)</f>
        <v/>
      </c>
      <c r="V40" s="60">
        <f>IF(AND(A40&gt;4,R40&gt;0),1,0)</f>
        <v/>
      </c>
      <c r="W40" s="60">
        <f>IF(AND(A40&gt;4,T40&gt;0),1,0)</f>
        <v/>
      </c>
      <c r="X40" s="60">
        <f>IF(AND(A40&gt;4,O40&gt;0),1,0)</f>
        <v/>
      </c>
      <c r="Y40" s="60">
        <f>IF(AND(A40&gt;4,M40&gt;0),1,0)</f>
        <v/>
      </c>
      <c r="Z40" s="60">
        <f>IF(AND(A40&gt;4,Q40&gt;0),1,0)</f>
        <v/>
      </c>
    </row>
    <row r="41">
      <c r="A41" s="16" t="inlineStr">
        <is>
          <t>TOTAL</t>
        </is>
      </c>
      <c r="B41" s="16" t="inlineStr">
        <is>
          <t>36 meses</t>
        </is>
      </c>
      <c r="C41" s="38" t="inlineStr"/>
      <c r="D41" s="38" t="inlineStr"/>
      <c r="E41" s="38" t="inlineStr"/>
      <c r="F41" s="62">
        <f>SUM(F5:F40)</f>
        <v/>
      </c>
      <c r="G41" s="17">
        <f>SUM(G5:G40)</f>
        <v/>
      </c>
      <c r="H41" s="17">
        <f>SUM(H5:H40)</f>
        <v/>
      </c>
      <c r="I41" s="17">
        <f>SUM(I5:I40)</f>
        <v/>
      </c>
      <c r="J41" s="17">
        <f>SUM(J5:J40)</f>
        <v/>
      </c>
      <c r="K41" s="17">
        <f>SUM(K5:K40)</f>
        <v/>
      </c>
      <c r="L41" s="17">
        <f>SUM(L5:L40)</f>
        <v/>
      </c>
      <c r="M41" s="17">
        <f>M40</f>
        <v/>
      </c>
      <c r="N41" s="17">
        <f>SUM(N5:N40)</f>
        <v/>
      </c>
      <c r="O41" s="17">
        <f>O40</f>
        <v/>
      </c>
      <c r="P41" s="17">
        <f>SUM(P5:P40)</f>
        <v/>
      </c>
      <c r="Q41" s="17">
        <f>Q40</f>
        <v/>
      </c>
      <c r="R41" s="17">
        <f>SUM(R5:R40)</f>
        <v/>
      </c>
      <c r="S41" s="17">
        <f>SUM(S5:S40)</f>
        <v/>
      </c>
      <c r="T41" s="17">
        <f>SUM(T5:T40)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 ht="24" customHeight="1">
      <c r="A1" s="1" t="inlineStr">
        <is>
          <t>Escenarios y sensibilidad</t>
        </is>
      </c>
    </row>
    <row r="2">
      <c r="A2" s="2" t="inlineStr">
        <is>
          <t>Mismo modelo, tres velocidades de adopción. El punto de equilibrio es lo que hay que mirar.</t>
        </is>
      </c>
    </row>
    <row r="4" ht="30" customHeight="1">
      <c r="A4" s="5" t="inlineStr">
        <is>
          <t>Indicador</t>
        </is>
      </c>
      <c r="B4" s="5" t="inlineStr">
        <is>
          <t>Conservador</t>
        </is>
      </c>
      <c r="C4" s="5" t="inlineStr">
        <is>
          <t>Base</t>
        </is>
      </c>
      <c r="D4" s="5" t="inlineStr">
        <is>
          <t>Optimista</t>
        </is>
      </c>
      <c r="E4" s="5" t="inlineStr">
        <is>
          <t>Comentario</t>
        </is>
      </c>
    </row>
    <row r="5">
      <c r="A5" s="6" t="inlineStr">
        <is>
          <t>Factor de adopción</t>
        </is>
      </c>
      <c r="B5" s="36">
        <f>Supuestos!$B$51</f>
        <v/>
      </c>
      <c r="C5" s="36">
        <f>Supuestos!$B$52</f>
        <v/>
      </c>
      <c r="D5" s="36">
        <f>Supuestos!$B$53</f>
        <v/>
      </c>
      <c r="E5" s="9" t="inlineStr">
        <is>
          <t>Editable en la hoja Supuestos.</t>
        </is>
      </c>
    </row>
    <row r="6">
      <c r="A6" s="6" t="inlineStr">
        <is>
          <t>MRR mes 12 (USD)</t>
        </is>
      </c>
      <c r="B6" s="10">
        <f>Proyeccion_36m!$G$16/Supuestos!$B$52*Supuestos!$B$51</f>
        <v/>
      </c>
      <c r="C6" s="10">
        <f>Proyeccion_36m!$G$16</f>
        <v/>
      </c>
      <c r="D6" s="10">
        <f>Proyeccion_36m!$G$16/Supuestos!$B$52*Supuestos!$B$53</f>
        <v/>
      </c>
      <c r="E6" s="9" t="inlineStr">
        <is>
          <t>Ingreso recurrente mensual al cerrar el primer año de operación.</t>
        </is>
      </c>
    </row>
    <row r="7">
      <c r="A7" s="6" t="inlineStr">
        <is>
          <t>MRR mes 24 (USD)</t>
        </is>
      </c>
      <c r="B7" s="10">
        <f>Proyeccion_36m!$G$28/Supuestos!$B$52*Supuestos!$B$51</f>
        <v/>
      </c>
      <c r="C7" s="10">
        <f>Proyeccion_36m!$G$28</f>
        <v/>
      </c>
      <c r="D7" s="10">
        <f>Proyeccion_36m!$G$28/Supuestos!$B$52*Supuestos!$B$53</f>
        <v/>
      </c>
      <c r="E7" s="9" t="inlineStr"/>
    </row>
    <row r="8">
      <c r="A8" s="6" t="inlineStr">
        <is>
          <t>MRR mes 36 (USD)</t>
        </is>
      </c>
      <c r="B8" s="10">
        <f>Proyeccion_36m!$G$40/Supuestos!$B$52*Supuestos!$B$51</f>
        <v/>
      </c>
      <c r="C8" s="10">
        <f>Proyeccion_36m!$G$40</f>
        <v/>
      </c>
      <c r="D8" s="10">
        <f>Proyeccion_36m!$G$40/Supuestos!$B$52*Supuestos!$B$53</f>
        <v/>
      </c>
      <c r="E8" s="9" t="inlineStr"/>
    </row>
    <row r="9">
      <c r="A9" s="6" t="inlineStr">
        <is>
          <t>Ingresos acumulados 36 m (USD)</t>
        </is>
      </c>
      <c r="B9" s="10">
        <f>SUM(Proyeccion_36m!$G$5:$G$40)/Supuestos!$B$52*Supuestos!$B$51</f>
        <v/>
      </c>
      <c r="C9" s="10">
        <f>SUM(Proyeccion_36m!$G$5:$G$40)</f>
        <v/>
      </c>
      <c r="D9" s="10">
        <f>SUM(Proyeccion_36m!$G$5:$G$40)/Supuestos!$B$52*Supuestos!$B$53</f>
        <v/>
      </c>
      <c r="E9" s="9" t="inlineStr"/>
    </row>
    <row r="10">
      <c r="A10" s="34" t="inlineStr">
        <is>
          <t>Resultado acumulado 36 m (USD)</t>
        </is>
      </c>
      <c r="B10" s="22">
        <f>Proyeccion_36m!$O$40</f>
        <v/>
      </c>
      <c r="C10" s="22">
        <f>Proyeccion_36m!$M$40</f>
        <v/>
      </c>
      <c r="D10" s="22">
        <f>Proyeccion_36m!$Q$40</f>
        <v/>
      </c>
      <c r="E10" s="9" t="inlineStr">
        <is>
          <t>Incluye la inversión de desarrollo según el modelo de negocio elegido.</t>
        </is>
      </c>
    </row>
    <row r="11">
      <c r="A11" s="34" t="inlineStr">
        <is>
          <t>Resultado acumulado 36 m (PEN)</t>
        </is>
      </c>
      <c r="B11" s="53">
        <f>Proyeccion_36m!$O$40*Supuestos!$B$5</f>
        <v/>
      </c>
      <c r="C11" s="53">
        <f>Proyeccion_36m!$M$40*Supuestos!$B$5</f>
        <v/>
      </c>
      <c r="D11" s="53">
        <f>Proyeccion_36m!$Q$40*Supuestos!$B$5</f>
        <v/>
      </c>
      <c r="E11" s="9" t="inlineStr"/>
    </row>
    <row r="12">
      <c r="A12" s="34" t="inlineStr">
        <is>
          <t>Mes de equilibrio operativo</t>
        </is>
      </c>
      <c r="B12" s="23">
        <f>IFERROR(INDEX(Proyeccion_36m!$A$5:$A$40,MATCH(1,Proyeccion_36m!$U$5:$U$40,0)),"&gt; 36")</f>
        <v/>
      </c>
      <c r="C12" s="23">
        <f>IFERROR(INDEX(Proyeccion_36m!$A$5:$A$40,MATCH(1,Proyeccion_36m!$V$5:$V$40,0)),"&gt; 36")</f>
        <v/>
      </c>
      <c r="D12" s="23">
        <f>IFERROR(INDEX(Proyeccion_36m!$A$5:$A$40,MATCH(1,Proyeccion_36m!$W$5:$W$40,0)),"&gt; 36")</f>
        <v/>
      </c>
      <c r="E12" s="9" t="inlineStr">
        <is>
          <t>Primer mes en que la suscripción cubre infraestructura, soporte y LLM. No cuenta el desarrollo.</t>
        </is>
      </c>
    </row>
    <row r="13">
      <c r="A13" s="34" t="inlineStr">
        <is>
          <t>Mes de recuperación de la inversión</t>
        </is>
      </c>
      <c r="B13" s="23">
        <f>IFERROR(INDEX(Proyeccion_36m!$A$5:$A$40,MATCH(1,Proyeccion_36m!$X$5:$X$40,0)),"&gt; 36")</f>
        <v/>
      </c>
      <c r="C13" s="23">
        <f>IFERROR(INDEX(Proyeccion_36m!$A$5:$A$40,MATCH(1,Proyeccion_36m!$Y$5:$Y$40,0)),"&gt; 36")</f>
        <v/>
      </c>
      <c r="D13" s="23">
        <f>IFERROR(INDEX(Proyeccion_36m!$A$5:$A$40,MATCH(1,Proyeccion_36m!$Z$5:$Z$40,0)),"&gt; 36")</f>
        <v/>
      </c>
      <c r="E13" s="9" t="inlineStr">
        <is>
          <t>Con modelo de negocio 2 (contrato al CITE) el desarrollo lo paga el cliente y no hay inversión que recuperar: sale mes 1. Cambia el modelo a 1 en Supuestos para verlo como producto propio.</t>
        </is>
      </c>
    </row>
    <row r="15" ht="20" customHeight="1">
      <c r="A15" s="3" t="inlineStr">
        <is>
          <t>SENSIBILIDAD DEL PRESUPUESTO DE DESARROLLO</t>
        </is>
      </c>
      <c r="B15" s="4" t="n"/>
      <c r="C15" s="4" t="n"/>
      <c r="D15" s="4" t="n"/>
      <c r="E15" s="4" t="n"/>
    </row>
    <row r="16" ht="30" customHeight="1">
      <c r="A16" s="5" t="inlineStr">
        <is>
          <t>Variable</t>
        </is>
      </c>
      <c r="B16" s="5" t="inlineStr">
        <is>
          <t>-20 %</t>
        </is>
      </c>
      <c r="C16" s="5" t="inlineStr">
        <is>
          <t>Valor del modelo</t>
        </is>
      </c>
      <c r="D16" s="5" t="inlineStr">
        <is>
          <t>+20 %</t>
        </is>
      </c>
      <c r="E16" s="5" t="inlineStr">
        <is>
          <t>Efecto sobre el precio</t>
        </is>
      </c>
    </row>
    <row r="17">
      <c r="A17" s="6" t="inlineStr">
        <is>
          <t>Factor de aceleración por IA (código)</t>
        </is>
      </c>
      <c r="B17" s="36">
        <f>Supuestos!$B$21*0.8</f>
        <v/>
      </c>
      <c r="C17" s="36">
        <f>Supuestos!$B$21</f>
        <v/>
      </c>
      <c r="D17" s="36">
        <f>Supuestos!$B$21*1.2</f>
        <v/>
      </c>
      <c r="E17" s="9" t="inlineStr">
        <is>
          <t>Es la palanca más sensible: mueve el 39 % de las horas del proyecto.</t>
        </is>
      </c>
    </row>
    <row r="18">
      <c r="A18" s="6" t="inlineStr">
        <is>
          <t>Tarifa de venta del dev senior (USD/h)</t>
        </is>
      </c>
      <c r="B18" s="20">
        <f>Supuestos!$C$14*0.8</f>
        <v/>
      </c>
      <c r="C18" s="20">
        <f>Supuestos!$C$14</f>
        <v/>
      </c>
      <c r="D18" s="20">
        <f>Supuestos!$C$14*1.2</f>
        <v/>
      </c>
      <c r="E18" s="9" t="inlineStr">
        <is>
          <t>±20 % de tarifa ≈ ±14 % de precio total (el resto son otros roles y directos).</t>
        </is>
      </c>
    </row>
    <row r="19">
      <c r="A19" s="6" t="inlineStr">
        <is>
          <t>Precio del plan Institucional (USD/mes)</t>
        </is>
      </c>
      <c r="B19" s="10">
        <f>Supuestos!$B$37*0.8</f>
        <v/>
      </c>
      <c r="C19" s="10">
        <f>Supuestos!$B$37</f>
        <v/>
      </c>
      <c r="D19" s="10">
        <f>Supuestos!$B$37*1.2</f>
        <v/>
      </c>
      <c r="E19" s="9" t="inlineStr">
        <is>
          <t>El contrato del CITE sostiene el punto de equilibrio los primeros 12 meses.</t>
        </is>
      </c>
    </row>
    <row r="20">
      <c r="A20" s="6" t="inlineStr">
        <is>
          <t>Contingencia del proyecto</t>
        </is>
      </c>
      <c r="B20" s="48">
        <f>Supuestos!$B$30*0.8</f>
        <v/>
      </c>
      <c r="C20" s="48">
        <f>Supuestos!$B$30</f>
        <v/>
      </c>
      <c r="D20" s="48">
        <f>Supuestos!$B$30*1.2</f>
        <v/>
      </c>
      <c r="E20" s="9" t="inlineStr">
        <is>
          <t>Riesgos abiertos: Codex bloqueado por robots.txt, p95 de glm-5.2 en 36 s, anti-bot de N2.</t>
        </is>
      </c>
    </row>
    <row r="22" ht="20" customHeight="1">
      <c r="A22" s="3" t="inlineStr">
        <is>
          <t>RIESGOS QUE PUEDEN MOVER EL PRESUPUESTO</t>
        </is>
      </c>
      <c r="B22" s="4" t="n"/>
      <c r="C22" s="4" t="n"/>
      <c r="D22" s="4" t="n"/>
      <c r="E22" s="4" t="n"/>
    </row>
    <row r="23" ht="30" customHeight="1">
      <c r="A23" s="5" t="inlineStr">
        <is>
          <t>Riesgo</t>
        </is>
      </c>
      <c r="B23" s="5" t="inlineStr">
        <is>
          <t>Probabilidad</t>
        </is>
      </c>
      <c r="C23" s="5" t="inlineStr">
        <is>
          <t>Impacto (h)</t>
        </is>
      </c>
      <c r="D23" s="5" t="inlineStr">
        <is>
          <t>Impacto (USD)</t>
        </is>
      </c>
      <c r="E23" s="5" t="inlineStr">
        <is>
          <t>Mitigación</t>
        </is>
      </c>
    </row>
    <row r="24">
      <c r="A24" s="6" t="inlineStr">
        <is>
          <t>Codex/GSFA no se puede rastrear (robots.txt de la FAO)</t>
        </is>
      </c>
      <c r="B24" s="8" t="inlineStr">
        <is>
          <t>Alta</t>
        </is>
      </c>
      <c r="C24" s="7" t="n">
        <v>24</v>
      </c>
      <c r="D24" s="10">
        <f>C24*Supuestos!$C$14</f>
        <v/>
      </c>
      <c r="E24" s="9" t="inlineStr">
        <is>
          <t>Curación manual ya presupuestada; se declara SIN_DATO, nunca 'no autorizado'.</t>
        </is>
      </c>
    </row>
    <row r="25">
      <c r="A25" s="6" t="inlineStr">
        <is>
          <t>p95 de 36 s en el análisis de aditivos</t>
        </is>
      </c>
      <c r="B25" s="8" t="inlineStr">
        <is>
          <t>Confirmada</t>
        </is>
      </c>
      <c r="C25" s="7" t="n">
        <v>16</v>
      </c>
      <c r="D25" s="10">
        <f>C25*Supuestos!$C$14</f>
        <v/>
      </c>
      <c r="E25" s="9" t="inlineStr">
        <is>
          <t>Concurrencia entre aditivos + caché + job con progreso. Ya está en T4/T5.</t>
        </is>
      </c>
    </row>
    <row r="26">
      <c r="A26" s="6" t="inlineStr">
        <is>
          <t>Anti-bot bloquea tiendas de N2</t>
        </is>
      </c>
      <c r="B26" s="8" t="inlineStr">
        <is>
          <t>Media</t>
        </is>
      </c>
      <c r="C26" s="7" t="n">
        <v>32</v>
      </c>
      <c r="D26" s="10">
        <f>C26*Supuestos!$C$14</f>
        <v/>
      </c>
      <c r="E26" s="9" t="inlineStr">
        <is>
          <t>Bajar a 70 tiendas y mantener el umbral de cobertura declarada.</t>
        </is>
      </c>
    </row>
    <row r="27">
      <c r="A27" s="6" t="inlineStr">
        <is>
          <t>Huawei cambia la tarificación de MaaS</t>
        </is>
      </c>
      <c r="B27" s="8" t="inlineStr">
        <is>
          <t>Baja</t>
        </is>
      </c>
      <c r="C27" s="7" t="n">
        <v>8</v>
      </c>
      <c r="D27" s="10">
        <f>C27*Supuestos!$C$14</f>
        <v/>
      </c>
      <c r="E27" s="9" t="inlineStr">
        <is>
          <t>Cláusula de renegociación si sube &gt; 20 %; fallback a Qwen.</t>
        </is>
      </c>
    </row>
    <row r="28">
      <c r="A28" s="6" t="inlineStr">
        <is>
          <t>OCR de DIGESA ilegible</t>
        </is>
      </c>
      <c r="B28" s="8" t="inlineStr">
        <is>
          <t>Media</t>
        </is>
      </c>
      <c r="C28" s="7" t="n">
        <v>16</v>
      </c>
      <c r="D28" s="10">
        <f>C28*Supuestos!$C$14</f>
        <v/>
      </c>
      <c r="E28" s="9" t="inlineStr">
        <is>
          <t>Pedido formal de datos estructurados a DIGESA; degradar a cita por documento.</t>
        </is>
      </c>
    </row>
    <row r="29">
      <c r="A29" s="6" t="inlineStr">
        <is>
          <t>El CITE pide multi-tenant con RLS por organización</t>
        </is>
      </c>
      <c r="B29" s="8" t="inlineStr">
        <is>
          <t>Media</t>
        </is>
      </c>
      <c r="C29" s="7" t="n">
        <v>40</v>
      </c>
      <c r="D29" s="10">
        <f>C29*Supuestos!$C$14</f>
        <v/>
      </c>
      <c r="E29" s="9" t="inlineStr">
        <is>
          <t>ADR-003 fase 1; es el cambio de alcance más caro que queda abierto.</t>
        </is>
      </c>
    </row>
    <row r="30">
      <c r="A30" s="16" t="inlineStr">
        <is>
          <t>TOTAL SI TODO SE MATERIALIZA</t>
        </is>
      </c>
      <c r="B30" s="38" t="inlineStr"/>
      <c r="C30" s="41">
        <f>SUM(C24:C29)</f>
        <v/>
      </c>
      <c r="D30" s="17">
        <f>SUM(D24:D29)</f>
        <v/>
      </c>
      <c r="E30" s="19" t="inlineStr">
        <is>
          <t>Comparar con la contingencia del proyecto: si esto supera la contingencia, hay que subirla.</t>
        </is>
      </c>
    </row>
    <row r="31">
      <c r="A31" s="24" t="inlineStr">
        <is>
          <t>Contingencia presupuestada</t>
        </is>
      </c>
      <c r="C31" s="63">
        <f>Esfuerzo!$G$59</f>
        <v/>
      </c>
      <c r="D31" s="64">
        <f>Esfuerzo!$G$59*Supuestos!$C$14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2" customWidth="1" min="3" max="3"/>
    <col width="50" customWidth="1" min="4" max="4"/>
    <col width="8" customWidth="1" min="5" max="5"/>
    <col width="15" customWidth="1" min="6" max="6"/>
    <col width="16" customWidth="1" min="7" max="7"/>
  </cols>
  <sheetData>
    <row r="1" ht="24" customHeight="1">
      <c r="A1" s="1" t="inlineStr">
        <is>
          <t>Cronograma de hitos y facturación</t>
        </is>
      </c>
    </row>
    <row r="2">
      <c r="A2" s="2" t="inlineStr">
        <is>
          <t>Cinco entregas verificables. Cada hito se cobra contra una prueba que se puede ejecutar delante del cliente.</t>
        </is>
      </c>
    </row>
    <row r="4" ht="30" customHeight="1">
      <c r="A4" s="5" t="inlineStr">
        <is>
          <t>Hito</t>
        </is>
      </c>
      <c r="B4" s="5" t="inlineStr">
        <is>
          <t>Semana</t>
        </is>
      </c>
      <c r="C4" s="5" t="inlineStr">
        <is>
          <t>Entregable</t>
        </is>
      </c>
      <c r="D4" s="5" t="inlineStr">
        <is>
          <t>Criterio de aceptación</t>
        </is>
      </c>
      <c r="E4" s="5" t="inlineStr">
        <is>
          <t>%</t>
        </is>
      </c>
      <c r="F4" s="5" t="inlineStr">
        <is>
          <t>USD</t>
        </is>
      </c>
      <c r="G4" s="5" t="inlineStr">
        <is>
          <t>PEN</t>
        </is>
      </c>
    </row>
    <row r="5" ht="32" customHeight="1">
      <c r="A5" s="6" t="inlineStr">
        <is>
          <t>H0 · Firma y arranque</t>
        </is>
      </c>
      <c r="B5" s="61" t="n">
        <v>0</v>
      </c>
      <c r="C5" s="6" t="inlineStr">
        <is>
          <t>Kick-off, accesos, entorno de dev y staging aprovisionado</t>
        </is>
      </c>
      <c r="D5" s="9" t="inlineStr">
        <is>
          <t>Stack de dev en pie; el equipo del CITE puede entrar al panel de staging.</t>
        </is>
      </c>
      <c r="E5" s="28" t="n">
        <v>0.3</v>
      </c>
      <c r="F5" s="10">
        <f>$E5*Costo_Desarrollo!$G$23</f>
        <v/>
      </c>
      <c r="G5" s="11">
        <f>F5*Supuestos!$B$5</f>
        <v/>
      </c>
    </row>
    <row r="6" ht="32" customHeight="1">
      <c r="A6" s="6" t="inlineStr">
        <is>
          <t>H1 · Núcleo asíncrono</t>
        </is>
      </c>
      <c r="B6" s="61" t="n">
        <v>4</v>
      </c>
      <c r="C6" s="6" t="inlineStr">
        <is>
          <t>Infraestructura, agente con cuarentena, cola de jobs y motor de tendencias</t>
        </is>
      </c>
      <c r="D6" s="9" t="inlineStr">
        <is>
          <t>P11, P12, P13, P16 y P17 en verde; P10 degradada sobre datos reales.</t>
        </is>
      </c>
      <c r="E6" s="28" t="n">
        <v>0.25</v>
      </c>
      <c r="F6" s="10">
        <f>$E6*Costo_Desarrollo!$G$23</f>
        <v/>
      </c>
      <c r="G6" s="11">
        <f>F6*Supuestos!$B$5</f>
        <v/>
      </c>
    </row>
    <row r="7" ht="32" customHeight="1">
      <c r="A7" s="6" t="inlineStr">
        <is>
          <t>H2 · Datos y vigilancia</t>
        </is>
      </c>
      <c r="B7" s="61" t="n">
        <v>7</v>
      </c>
      <c r="C7" s="6" t="inlineStr">
        <is>
          <t>Corpus regulatorio completo, N2 con Scrapling/Bright Data y alertas de retiro</t>
        </is>
      </c>
      <c r="D7" s="9" t="inlineStr">
        <is>
          <t>P08, P14, P18, P19 y P20 en verde; toda cita con URL viva.</t>
        </is>
      </c>
      <c r="E7" s="28" t="n">
        <v>0.25</v>
      </c>
      <c r="F7" s="10">
        <f>$E7*Costo_Desarrollo!$G$23</f>
        <v/>
      </c>
      <c r="G7" s="11">
        <f>F7*Supuestos!$B$5</f>
        <v/>
      </c>
    </row>
    <row r="8" ht="32" customHeight="1">
      <c r="A8" s="6" t="inlineStr">
        <is>
          <t>H3 · Producto y confianza</t>
        </is>
      </c>
      <c r="B8" s="61" t="n">
        <v>10</v>
      </c>
      <c r="C8" s="6" t="inlineStr">
        <is>
          <t>Promoción automática, panel CITE completo, CI y load testing</t>
        </is>
      </c>
      <c r="D8" s="9" t="inlineStr">
        <is>
          <t>P09 y P15 en verde; 50 rps sostenidos con p95 &lt; 2 s; spike de 500 rps degrada sin 5xx.</t>
        </is>
      </c>
      <c r="E8" s="28" t="n">
        <v>0.1</v>
      </c>
      <c r="F8" s="10">
        <f>$E8*Costo_Desarrollo!$G$23</f>
        <v/>
      </c>
      <c r="G8" s="11">
        <f>F8*Supuestos!$B$5</f>
        <v/>
      </c>
    </row>
    <row r="9" ht="32" customHeight="1">
      <c r="A9" s="6" t="inlineStr">
        <is>
          <t>H4 · Go-live</t>
        </is>
      </c>
      <c r="B9" s="61" t="n">
        <v>12</v>
      </c>
      <c r="C9" s="6" t="inlineStr">
        <is>
          <t>Optimización de modelos, canary, capacitación y runbook</t>
        </is>
      </c>
      <c r="D9" s="9" t="inlineStr">
        <is>
          <t>24 h en producción sin incidentes; equipo del CITE capacitado; rollback probado en &lt; 5 min.</t>
        </is>
      </c>
      <c r="E9" s="28" t="n">
        <v>0.1</v>
      </c>
      <c r="F9" s="10">
        <f>$E9*Costo_Desarrollo!$G$23</f>
        <v/>
      </c>
      <c r="G9" s="11">
        <f>F9*Supuestos!$B$5</f>
        <v/>
      </c>
    </row>
    <row r="10">
      <c r="A10" s="16" t="inlineStr">
        <is>
          <t>TOTAL</t>
        </is>
      </c>
      <c r="B10" s="38" t="inlineStr"/>
      <c r="C10" s="38" t="inlineStr"/>
      <c r="D10" s="38" t="inlineStr"/>
      <c r="E10" s="65">
        <f>SUM(E5:E9)</f>
        <v/>
      </c>
      <c r="F10" s="17">
        <f>SUM(F5:F9)</f>
        <v/>
      </c>
      <c r="G10" s="18">
        <f>SUM(G5:G9)</f>
        <v/>
      </c>
    </row>
    <row r="11">
      <c r="A11" s="6" t="inlineStr">
        <is>
          <t>IGV</t>
        </is>
      </c>
      <c r="B11" s="6" t="inlineStr"/>
      <c r="C11" s="6" t="inlineStr"/>
      <c r="D11" s="6" t="inlineStr"/>
      <c r="E11" s="6" t="inlineStr"/>
      <c r="F11" s="10">
        <f>F10*Supuestos!$B$6</f>
        <v/>
      </c>
      <c r="G11" s="11">
        <f>G10*Supuestos!$B$6</f>
        <v/>
      </c>
    </row>
    <row r="12">
      <c r="A12" s="16" t="inlineStr">
        <is>
          <t>TOTAL CON IGV</t>
        </is>
      </c>
      <c r="B12" s="38" t="inlineStr"/>
      <c r="C12" s="38" t="inlineStr"/>
      <c r="D12" s="38" t="inlineStr"/>
      <c r="E12" s="38" t="inlineStr"/>
      <c r="F12" s="17">
        <f>F10+F11</f>
        <v/>
      </c>
      <c r="G12" s="18">
        <f>G10+G11</f>
        <v/>
      </c>
    </row>
    <row r="14">
      <c r="A14" s="26" t="inlineStr">
        <is>
          <t>El 30 % de arranque cubre las licencias de IA y la infraestructura del primer mes, que son gasto de bolsillo desde el día 1. Los hitos siguientes se pagan contra pruebas ejecutables, no contra documentos.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2026-08-14T15:40:59Z</dcterms:created>
  <dcterms:modified xsi:type="dcterms:W3CDTF">2026-08-14T15:40:59Z</dcterms:modified>
</cp:coreProperties>
</file>