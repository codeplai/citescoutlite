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Leeme" sheetId="2" state="visible" r:id="rId2"/>
    <sheet name="Parametros" sheetId="3" state="visible" r:id="rId3"/>
    <sheet name="Detalle" sheetId="4" state="visible" r:id="rId4"/>
    <sheet name="LLM-MaaS" sheetId="5" state="visible" r:id="rId5"/>
    <sheet name="Produccion" sheetId="6" state="visible" r:id="rId6"/>
    <sheet name="Usuarios" sheetId="7" state="visible" r:id="rId7"/>
    <sheet name="Crecimiento" sheetId="8" state="visible" r:id="rId8"/>
    <sheet name="Ingesta" sheetId="9" state="visible" r:id="rId9"/>
    <sheet name="Escenarios" sheetId="10" state="visible" r:id="rId10"/>
    <sheet name="Supuestos" sheetId="11" state="visible" r:id="rId11"/>
  </sheets>
  <definedNames/>
  <calcPr calcId="124519" fullCalcOnLoad="1"/>
</workbook>
</file>

<file path=xl/styles.xml><?xml version="1.0" encoding="utf-8"?>
<styleSheet xmlns="http://schemas.openxmlformats.org/spreadsheetml/2006/main">
  <numFmts count="3">
    <numFmt numFmtId="164" formatCode="&quot;US$&quot;#,##0.00"/>
    <numFmt numFmtId="165" formatCode="&quot;S/&quot;#,##0.00"/>
    <numFmt numFmtId="166" formatCode="&quot;US$&quot;#,##0"/>
  </numFmts>
  <fonts count="15">
    <font>
      <name val="Calibri"/>
      <family val="2"/>
      <color theme="1"/>
      <sz val="11"/>
      <scheme val="minor"/>
    </font>
    <font>
      <name val="Calibri"/>
      <b val="1"/>
      <color rgb="001F3864"/>
      <sz val="16"/>
    </font>
    <font>
      <name val="Calibri"/>
      <i val="1"/>
      <color rgb="00595959"/>
      <sz val="11"/>
    </font>
    <font>
      <name val="Calibri"/>
      <sz val="10"/>
    </font>
    <font>
      <name val="Calibri"/>
      <b val="1"/>
      <color rgb="001F3864"/>
      <sz val="11"/>
    </font>
    <font>
      <name val="Calibri"/>
      <b val="1"/>
      <color rgb="00FFFFFF"/>
      <sz val="10"/>
    </font>
    <font>
      <name val="Calibri"/>
      <b val="1"/>
      <sz val="10"/>
    </font>
    <font>
      <b val="1"/>
      <color rgb="001F3864"/>
      <sz val="11"/>
    </font>
    <font>
      <b val="1"/>
      <sz val="11"/>
    </font>
    <font>
      <name val="Calibri"/>
      <color rgb="00595959"/>
      <sz val="9"/>
    </font>
    <font>
      <b val="1"/>
      <color rgb="001F3864"/>
      <sz val="10"/>
    </font>
    <font>
      <b val="1"/>
      <color rgb="00C00000"/>
      <sz val="12"/>
    </font>
    <font>
      <b val="1"/>
      <color rgb="00C00000"/>
      <sz val="11"/>
    </font>
    <font>
      <b val="1"/>
      <color rgb="001F3864"/>
      <sz val="12"/>
    </font>
    <font>
      <b val="1"/>
      <sz val="12"/>
    </font>
  </fonts>
  <fills count="8">
    <fill>
      <patternFill/>
    </fill>
    <fill>
      <patternFill patternType="gray125"/>
    </fill>
    <fill>
      <patternFill patternType="solid">
        <fgColor rgb="00D9E2F3"/>
      </patternFill>
    </fill>
    <fill>
      <patternFill patternType="solid">
        <fgColor rgb="001F3864"/>
      </patternFill>
    </fill>
    <fill>
      <patternFill patternType="solid">
        <fgColor rgb="00FFF2CC"/>
      </patternFill>
    </fill>
    <fill>
      <patternFill patternType="solid">
        <fgColor rgb="00F2F2F2"/>
      </patternFill>
    </fill>
    <fill>
      <patternFill patternType="solid">
        <fgColor rgb="00FCE4D6"/>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5" fillId="3" borderId="1" applyAlignment="1" pivotButton="0" quotePrefix="0" xfId="0">
      <alignment horizontal="center" vertical="center" wrapText="1"/>
    </xf>
    <xf numFmtId="0" fontId="3" fillId="0" borderId="1" pivotButton="0" quotePrefix="0" xfId="0"/>
    <xf numFmtId="164" fontId="3" fillId="0" borderId="1" pivotButton="0" quotePrefix="0" xfId="0"/>
    <xf numFmtId="164" fontId="6" fillId="0" borderId="1" pivotButton="0" quotePrefix="0" xfId="0"/>
    <xf numFmtId="0" fontId="9" fillId="0" borderId="1" applyAlignment="1" pivotButton="0" quotePrefix="0" xfId="0">
      <alignment vertical="top" wrapText="1"/>
    </xf>
    <xf numFmtId="0" fontId="6" fillId="0" borderId="1" pivotButton="0" quotePrefix="0" xfId="0"/>
    <xf numFmtId="164" fontId="6" fillId="5" borderId="1" pivotButton="0" quotePrefix="0" xfId="0"/>
    <xf numFmtId="164" fontId="0" fillId="0" borderId="1" pivotButton="0" quotePrefix="0" xfId="0"/>
    <xf numFmtId="0" fontId="9" fillId="0" borderId="0" pivotButton="0" quotePrefix="0" xfId="0"/>
    <xf numFmtId="0" fontId="13" fillId="0" borderId="0" pivotButton="0" quotePrefix="0" xfId="0"/>
    <xf numFmtId="164" fontId="14" fillId="6" borderId="1" pivotButton="0" quotePrefix="0" xfId="0"/>
    <xf numFmtId="0" fontId="6" fillId="0" borderId="0" pivotButton="0" quotePrefix="0" xfId="0"/>
    <xf numFmtId="165" fontId="6" fillId="0" borderId="1" pivotButton="0" quotePrefix="0" xfId="0"/>
    <xf numFmtId="166" fontId="6" fillId="0" borderId="1" pivotButton="0" quotePrefix="0" xfId="0"/>
    <xf numFmtId="166" fontId="6" fillId="6" borderId="1" pivotButton="0" quotePrefix="0" xfId="0"/>
    <xf numFmtId="0" fontId="7" fillId="0" borderId="0" pivotButton="0" quotePrefix="0" xfId="0"/>
    <xf numFmtId="0" fontId="3" fillId="0" borderId="0" applyAlignment="1" pivotButton="0" quotePrefix="0" xfId="0">
      <alignment vertical="top" wrapText="1"/>
    </xf>
    <xf numFmtId="0" fontId="4" fillId="2" borderId="0" pivotButton="0" quotePrefix="0" xfId="0"/>
    <xf numFmtId="0" fontId="3" fillId="0" borderId="1" applyAlignment="1" pivotButton="0" quotePrefix="0" xfId="0">
      <alignment vertical="top" wrapText="1"/>
    </xf>
    <xf numFmtId="0" fontId="6" fillId="4" borderId="1" applyAlignment="1" pivotButton="0" quotePrefix="0" xfId="0">
      <alignment horizontal="center"/>
    </xf>
    <xf numFmtId="4" fontId="6" fillId="4" borderId="1" applyAlignment="1" pivotButton="0" quotePrefix="0" xfId="0">
      <alignment horizontal="center"/>
    </xf>
    <xf numFmtId="9" fontId="6" fillId="4" borderId="1" applyAlignment="1" pivotButton="0" quotePrefix="0" xfId="0">
      <alignment horizontal="center"/>
    </xf>
    <xf numFmtId="0" fontId="3" fillId="2" borderId="1" applyAlignment="1" pivotButton="0" quotePrefix="0" xfId="0">
      <alignment vertical="top"/>
    </xf>
    <xf numFmtId="0" fontId="6" fillId="0" borderId="1" applyAlignment="1" pivotButton="0" quotePrefix="0" xfId="0">
      <alignment vertical="top"/>
    </xf>
    <xf numFmtId="0" fontId="3" fillId="0" borderId="1" applyAlignment="1" pivotButton="0" quotePrefix="0" xfId="0">
      <alignment vertical="top"/>
    </xf>
    <xf numFmtId="0" fontId="3" fillId="0" borderId="1" applyAlignment="1" pivotButton="0" quotePrefix="0" xfId="0">
      <alignment horizontal="center" vertical="top"/>
    </xf>
    <xf numFmtId="164" fontId="3" fillId="4" borderId="1" applyAlignment="1" pivotButton="0" quotePrefix="0" xfId="0">
      <alignment vertical="top"/>
    </xf>
    <xf numFmtId="164" fontId="3" fillId="0" borderId="1" applyAlignment="1" pivotButton="0" quotePrefix="0" xfId="0">
      <alignment vertical="top"/>
    </xf>
    <xf numFmtId="164" fontId="6" fillId="0" borderId="1" applyAlignment="1" pivotButton="0" quotePrefix="0" xfId="0">
      <alignment vertical="top"/>
    </xf>
    <xf numFmtId="164" fontId="8" fillId="6" borderId="1" pivotButton="0" quotePrefix="0" xfId="0"/>
    <xf numFmtId="164" fontId="6" fillId="7" borderId="1" applyAlignment="1" pivotButton="0" quotePrefix="0" xfId="0">
      <alignment horizontal="center"/>
    </xf>
    <xf numFmtId="164" fontId="6" fillId="4" borderId="1" applyAlignment="1" pivotButton="0" quotePrefix="0" xfId="0">
      <alignment horizontal="center"/>
    </xf>
    <xf numFmtId="3" fontId="6" fillId="4" borderId="1" applyAlignment="1" pivotButton="0" quotePrefix="0" xfId="0">
      <alignment horizontal="center"/>
    </xf>
    <xf numFmtId="3" fontId="6" fillId="0" borderId="1" applyAlignment="1" pivotButton="0" quotePrefix="0" xfId="0">
      <alignment horizontal="center"/>
    </xf>
    <xf numFmtId="4" fontId="3" fillId="0" borderId="1" applyAlignment="1" pivotButton="0" quotePrefix="0" xfId="0">
      <alignment horizontal="center"/>
    </xf>
    <xf numFmtId="0" fontId="10" fillId="0" borderId="1" pivotButton="0" quotePrefix="0" xfId="0"/>
    <xf numFmtId="3" fontId="6" fillId="6" borderId="1" applyAlignment="1" pivotButton="0" quotePrefix="0" xfId="0">
      <alignment horizontal="center"/>
    </xf>
    <xf numFmtId="3" fontId="3" fillId="0" borderId="1" applyAlignment="1" pivotButton="0" quotePrefix="0" xfId="0">
      <alignment horizontal="center"/>
    </xf>
    <xf numFmtId="164" fontId="3" fillId="0" borderId="1" applyAlignment="1" pivotButton="0" quotePrefix="0" xfId="0">
      <alignment horizontal="center"/>
    </xf>
    <xf numFmtId="164" fontId="6" fillId="6" borderId="1" applyAlignment="1" pivotButton="0" quotePrefix="0" xfId="0">
      <alignment horizontal="center"/>
    </xf>
    <xf numFmtId="0" fontId="11" fillId="0" borderId="0" pivotButton="0" quotePrefix="0" xfId="0"/>
    <xf numFmtId="3" fontId="6" fillId="5" borderId="1" applyAlignment="1" pivotButton="0" quotePrefix="0" xfId="0">
      <alignment horizontal="center"/>
    </xf>
    <xf numFmtId="0" fontId="0" fillId="0" borderId="1" pivotButton="0" quotePrefix="0" xfId="0"/>
    <xf numFmtId="0" fontId="12" fillId="0" borderId="1" pivotButton="0" quotePrefix="0" xfId="0"/>
    <xf numFmtId="3" fontId="8" fillId="6" borderId="1" pivotButton="0" quotePrefix="0" xfId="0"/>
    <xf numFmtId="4" fontId="6" fillId="7" borderId="1" applyAlignment="1" pivotButton="0" quotePrefix="0" xfId="0">
      <alignment horizontal="center"/>
    </xf>
    <xf numFmtId="4" fontId="6" fillId="6" borderId="1" pivotButton="0" quotePrefix="0" xfId="0"/>
    <xf numFmtId="3" fontId="6" fillId="7" borderId="1" applyAlignment="1" pivotButton="0" quotePrefix="0" xfId="0">
      <alignment horizontal="center"/>
    </xf>
    <xf numFmtId="0" fontId="6" fillId="7" borderId="1" applyAlignment="1" pivotButton="0" quotePrefix="0" xfId="0">
      <alignment horizontal="center"/>
    </xf>
    <xf numFmtId="0" fontId="3" fillId="0" borderId="1" applyAlignment="1" pivotButton="0" quotePrefix="0" xfId="0">
      <alignment horizontal="center"/>
    </xf>
    <xf numFmtId="9" fontId="3" fillId="0" borderId="1" applyAlignment="1" pivotButton="0" quotePrefix="0" xfId="0">
      <alignment horizontal="center"/>
    </xf>
    <xf numFmtId="0" fontId="6" fillId="6" borderId="1" applyAlignment="1" pivotButton="0" quotePrefix="0" xfId="0">
      <alignment horizontal="center"/>
    </xf>
    <xf numFmtId="4" fontId="6" fillId="6" borderId="1" applyAlignment="1" pivotButton="0" quotePrefix="0" xfId="0">
      <alignment horizontal="center"/>
    </xf>
    <xf numFmtId="9" fontId="6" fillId="6" borderId="1" applyAlignment="1" pivotButton="0" quotePrefix="0" xfId="0">
      <alignment horizontal="center"/>
    </xf>
    <xf numFmtId="0" fontId="6" fillId="0" borderId="1" applyAlignment="1" pivotButton="0" quotePrefix="0" xfId="0">
      <alignment vertical="top" wrapText="1"/>
    </xf>
    <xf numFmtId="9" fontId="6" fillId="7" borderId="1" applyAlignment="1" pivotButton="0" quotePrefix="0" xfId="0">
      <alignment horizontal="center"/>
    </xf>
    <xf numFmtId="0" fontId="6" fillId="7" borderId="1" pivotButton="0" quotePrefix="0" xfId="0"/>
    <xf numFmtId="0" fontId="3" fillId="7" borderId="1" applyAlignment="1" pivotButton="0" quotePrefix="0" xfId="0">
      <alignment vertical="top" wrapText="1"/>
    </xf>
    <xf numFmtId="0" fontId="6" fillId="7" borderId="1" applyAlignment="1" pivotButton="0" quotePrefix="0" xfId="0">
      <alignment vertical="top" wrapText="1"/>
    </xf>
    <xf numFmtId="4" fontId="6" fillId="0" borderId="1" applyAlignment="1" pivotButton="0" quotePrefix="0" xfId="0">
      <alignment horizontal="center"/>
    </xf>
    <xf numFmtId="164" fontId="6" fillId="0" borderId="1" applyAlignment="1" pivotButton="0" quotePrefix="0" xfId="0">
      <alignment horizontal="center"/>
    </xf>
    <xf numFmtId="164" fontId="6" fillId="6" borderId="1" pivotButton="0" quotePrefix="0" xfId="0"/>
    <xf numFmtId="165" fontId="6"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C00000"/>
    <outlinePr summaryBelow="1" summaryRight="1"/>
    <pageSetUpPr/>
  </sheetPr>
  <dimension ref="A1:E21"/>
  <sheetViews>
    <sheetView showGridLines="0" workbookViewId="0">
      <selection activeCell="A1" sqref="A1"/>
    </sheetView>
  </sheetViews>
  <sheetFormatPr baseColWidth="8" defaultRowHeight="15"/>
  <cols>
    <col width="36" customWidth="1" min="1" max="1"/>
    <col width="16" customWidth="1" min="2" max="2"/>
    <col width="18" customWidth="1" min="3" max="3"/>
    <col width="16" customWidth="1" min="4" max="4"/>
    <col width="64" customWidth="1" min="5" max="5"/>
  </cols>
  <sheetData>
    <row r="1">
      <c r="A1" s="1" t="inlineStr">
        <is>
          <t>Resumen ejecutivo — presupuesto de infraestructura</t>
        </is>
      </c>
    </row>
    <row r="2">
      <c r="A2" s="2" t="inlineStr">
        <is>
          <t>AgroScout IA · CITEagroindustrial Chavimochic · Huawei Cloud LA-Santiago · 2026-08-02</t>
        </is>
      </c>
    </row>
    <row r="4" ht="30" customHeight="1">
      <c r="A4" s="3" t="inlineStr">
        <is>
          <t>Bloque</t>
        </is>
      </c>
      <c r="B4" s="3" t="inlineStr">
        <is>
          <t>Mínimo (US$)</t>
        </is>
      </c>
      <c r="C4" s="3" t="inlineStr">
        <is>
          <t>Esperado (US$)</t>
        </is>
      </c>
      <c r="D4" s="3" t="inlineStr">
        <is>
          <t>Máximo (US$)</t>
        </is>
      </c>
      <c r="E4" s="3" t="inlineStr">
        <is>
          <t>Comentario</t>
        </is>
      </c>
    </row>
    <row r="5" ht="28" customHeight="1">
      <c r="A5" s="4" t="inlineStr">
        <is>
          <t>Cómputo (ECS + disco de sistema)</t>
        </is>
      </c>
      <c r="B5" s="5">
        <f>Detalle!J24</f>
        <v/>
      </c>
      <c r="C5" s="6">
        <f>Detalle!K24</f>
        <v/>
      </c>
      <c r="D5" s="5">
        <f>Detalle!L24</f>
        <v/>
      </c>
      <c r="E5" s="7" t="inlineStr">
        <is>
          <t>1 instancia de 4 vCPU/8 GB. Los 8 GB los exige bge-m3, no el tráfico.</t>
        </is>
      </c>
    </row>
    <row r="6" ht="28" customHeight="1">
      <c r="A6" s="4" t="inlineStr">
        <is>
          <t>Base de datos (RDS PostgreSQL)</t>
        </is>
      </c>
      <c r="B6" s="5">
        <f>Detalle!J25</f>
        <v/>
      </c>
      <c r="C6" s="6">
        <f>Detalle!K25</f>
        <v/>
      </c>
      <c r="D6" s="5">
        <f>Detalle!L25</f>
        <v/>
      </c>
      <c r="E6" s="7" t="inlineStr">
        <is>
          <t>Nodo único, sin acceso público. La alta disponibilidad duplica esta línea.</t>
        </is>
      </c>
    </row>
    <row r="7" ht="28" customHeight="1">
      <c r="A7" s="4" t="inlineStr">
        <is>
          <t>Almacenamiento (EVS + OBS + CBR)</t>
        </is>
      </c>
      <c r="B7" s="5">
        <f>Detalle!J26</f>
        <v/>
      </c>
      <c r="C7" s="6">
        <f>Detalle!K26</f>
        <v/>
      </c>
      <c r="D7" s="5">
        <f>Detalle!L26</f>
        <v/>
      </c>
      <c r="E7" s="7" t="inlineStr">
        <is>
          <t>100 GB de datos, 20 GB en OBS y respaldo diario.</t>
        </is>
      </c>
    </row>
    <row r="8" ht="28" customHeight="1">
      <c r="A8" s="4" t="inlineStr">
        <is>
          <t>Red (EIP + tráfico)</t>
        </is>
      </c>
      <c r="B8" s="5">
        <f>Detalle!J27</f>
        <v/>
      </c>
      <c r="C8" s="6">
        <f>Detalle!K27</f>
        <v/>
      </c>
      <c r="D8" s="5">
        <f>Detalle!L27</f>
        <v/>
      </c>
      <c r="E8" s="7" t="inlineStr">
        <is>
          <t>Pago por tráfico: la demo mueve megabytes, no gigabytes.</t>
        </is>
      </c>
    </row>
    <row r="9" ht="28" customHeight="1">
      <c r="A9" s="4" t="inlineStr">
        <is>
          <t>Operación (LTS, CES, DNS, SCM)</t>
        </is>
      </c>
      <c r="B9" s="5">
        <f>Detalle!J28</f>
        <v/>
      </c>
      <c r="C9" s="6">
        <f>Detalle!K28</f>
        <v/>
      </c>
      <c r="D9" s="5">
        <f>Detalle!L28</f>
        <v/>
      </c>
      <c r="E9" s="7" t="inlineStr">
        <is>
          <t>Casi todo gratuito en estos volúmenes.</t>
        </is>
      </c>
    </row>
    <row r="10">
      <c r="A10" s="8" t="inlineStr">
        <is>
          <t>Subtotal infraestructura</t>
        </is>
      </c>
      <c r="B10" s="9">
        <f>Detalle!J30</f>
        <v/>
      </c>
      <c r="C10" s="9">
        <f>Detalle!K30</f>
        <v/>
      </c>
      <c r="D10" s="9">
        <f>Detalle!L30</f>
        <v/>
      </c>
    </row>
    <row r="11">
      <c r="A11" s="4" t="inlineStr">
        <is>
          <t>LLM · ModelArts MaaS</t>
        </is>
      </c>
      <c r="B11" s="10">
        <f>'LLM-MaaS'!$B$11</f>
        <v/>
      </c>
      <c r="C11" s="10">
        <f>'LLM-MaaS'!$B$11</f>
        <v/>
      </c>
      <c r="D11" s="10">
        <f>'LLM-MaaS'!$B$11</f>
        <v/>
      </c>
      <c r="E11" s="11" t="inlineStr">
        <is>
          <t>US$ 0,21 por run premium, MEDIDO. Acotado por el kill-switch de la aplicación.</t>
        </is>
      </c>
    </row>
    <row r="13">
      <c r="A13" s="12" t="inlineStr">
        <is>
          <t>TOTAL MENSUAL</t>
        </is>
      </c>
      <c r="B13" s="13">
        <f>Detalle!J30+'LLM-MaaS'!$B$11</f>
        <v/>
      </c>
      <c r="C13" s="13">
        <f>Detalle!K30+'LLM-MaaS'!$B$11</f>
        <v/>
      </c>
      <c r="D13" s="13">
        <f>Detalle!L30+'LLM-MaaS'!$B$11</f>
        <v/>
      </c>
    </row>
    <row r="14">
      <c r="A14" s="14" t="inlineStr">
        <is>
          <t>TOTAL MENSUAL (S/)</t>
        </is>
      </c>
      <c r="B14" s="15">
        <f>B13*Parametros!$B$8</f>
        <v/>
      </c>
      <c r="C14" s="15">
        <f>C13*Parametros!$B$8</f>
        <v/>
      </c>
      <c r="D14" s="15">
        <f>D13*Parametros!$B$8</f>
        <v/>
      </c>
    </row>
    <row r="15">
      <c r="A15" s="14" t="inlineStr">
        <is>
          <t>TOTAL ANUAL (US$)</t>
        </is>
      </c>
      <c r="B15" s="16">
        <f>B13*12</f>
        <v/>
      </c>
      <c r="C15" s="16">
        <f>C13*12</f>
        <v/>
      </c>
      <c r="D15" s="16">
        <f>D13*12</f>
        <v/>
      </c>
    </row>
    <row r="16">
      <c r="A16" s="14" t="inlineStr">
        <is>
          <t>TOTAL ANUAL con compromiso (US$)</t>
        </is>
      </c>
      <c r="B16" s="17">
        <f>B13*12*(1-Parametros!$B$10)</f>
        <v/>
      </c>
      <c r="C16" s="17">
        <f>C13*12*(1-Parametros!$B$10)</f>
        <v/>
      </c>
      <c r="D16" s="17">
        <f>D13*12*(1-Parametros!$B$10)</f>
        <v/>
      </c>
    </row>
    <row r="18">
      <c r="A18" s="18" t="inlineStr">
        <is>
          <t>Tres cosas que conviene decir al presentar este número</t>
        </is>
      </c>
    </row>
    <row r="19" ht="32" customHeight="1">
      <c r="A19" s="19" t="inlineStr">
        <is>
          <t>1. Los precios unitarios son ESTIMACIONES documentadas, no tarifas descargadas de la web de Huawei: la compañía solo las publica dentro de su calculador, que es JavaScript. La hoja 'Supuestos' dice cómo verificar cada una en minutos, y el libro se recalcula solo al cambiarlas.</t>
        </is>
      </c>
    </row>
    <row r="20" ht="32" customHeight="1">
      <c r="A20" s="19" t="inlineStr">
        <is>
          <t>2. El coste del LLM SÍ está medido en este proyecto (US$ 0,19-0,23 por consulta premium) y además está acotado por software: el kill-switch corta el gasto al llegar al tope sin devolver errores.</t>
        </is>
      </c>
    </row>
    <row r="21" ht="32" customHeight="1">
      <c r="A21" s="19" t="inlineStr">
        <is>
          <t>3. Hasta el CDR del 28 de agosto el escenario correcto es el A (encender solo para ensayos), que cuesta una fracción del 24×7. Pasar a B es una decisión de servicio, no de infraestructura.</t>
        </is>
      </c>
    </row>
  </sheetData>
  <mergeCells count="3">
    <mergeCell ref="A21:E21"/>
    <mergeCell ref="A20:E20"/>
    <mergeCell ref="A19:E19"/>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B26"/>
  <sheetViews>
    <sheetView showGridLines="0" workbookViewId="0">
      <selection activeCell="A1" sqref="A1"/>
    </sheetView>
  </sheetViews>
  <sheetFormatPr baseColWidth="8" defaultRowHeight="15"/>
  <cols>
    <col width="4" customWidth="1" min="1" max="1"/>
    <col width="112" customWidth="1" min="2" max="2"/>
  </cols>
  <sheetData>
    <row r="1">
      <c r="A1" s="1" t="inlineStr">
        <is>
          <t>Presupuesto de infraestructura — AgroScout IA en Huawei Cloud</t>
        </is>
      </c>
    </row>
    <row r="2">
      <c r="A2" s="2" t="inlineStr">
        <is>
          <t>CITEagroindustrial Chavimochic · elaborado 2026-08-02 · región LA-Santiago</t>
        </is>
      </c>
    </row>
    <row r="4" ht="15" customHeight="1">
      <c r="B4" s="19" t="inlineStr"/>
    </row>
    <row r="5">
      <c r="B5" s="20" t="inlineStr">
        <is>
          <t>ADVERTENCIA IMPORTANTE SOBRE LOS PRECIOS</t>
        </is>
      </c>
    </row>
    <row r="6" ht="42" customHeight="1">
      <c r="B6" s="19" t="inlineStr">
        <is>
          <t>Huawei Cloud NO publica una lista de precios en HTML: sus tarifas viven únicamente dentro del calculador (https://www.huaweicloud.com/intl/en-us/pricing/calculator.html), que es una aplicación JavaScript y no se puede leer de forma automática ni citar como fuente estable.</t>
        </is>
      </c>
    </row>
    <row r="7" ht="56" customHeight="1">
      <c r="B7" s="19" t="inlineStr">
        <is>
          <t>Por eso este libro NO afirma tener los precios oficiales. Lo que hace es mejor para un presupuesto que se va a presentar: cada precio unitario es una CELDA DE ENTRADA (fondo amarillo) con su estimación mín/esperado/máx documentada, y todo lo demás son fórmulas. En cuanto usted pegue los números del calculador, los totales, los escenarios y el resumen se recalculan solos.</t>
        </is>
      </c>
    </row>
    <row r="8" ht="28" customHeight="1">
      <c r="B8" s="19" t="inlineStr">
        <is>
          <t>La hoja 'Supuestos' explica de dónde sale cada estimación y cómo verificarla en el calculador, paso a paso y con los filtros exactos.</t>
        </is>
      </c>
    </row>
    <row r="9" ht="15" customHeight="1">
      <c r="B9" s="19" t="inlineStr"/>
    </row>
    <row r="10">
      <c r="B10" s="20" t="inlineStr">
        <is>
          <t>CÓDIGO DE COLORES</t>
        </is>
      </c>
    </row>
    <row r="11" ht="15" customHeight="1">
      <c r="B11" s="19" t="inlineStr">
        <is>
          <t>Amarillo  →  celda de entrada: usted la edita con el dato del calculador o del contrato.</t>
        </is>
      </c>
    </row>
    <row r="12" ht="15" customHeight="1">
      <c r="B12" s="19" t="inlineStr">
        <is>
          <t>Verde     →  dato MEDIDO en este proyecto, no estimado (p. ej. el coste por run del LLM).</t>
        </is>
      </c>
    </row>
    <row r="13" ht="15" customHeight="1">
      <c r="B13" s="19" t="inlineStr">
        <is>
          <t>Naranja   →  total calculado. No editar: son fórmulas.</t>
        </is>
      </c>
    </row>
    <row r="14" ht="15" customHeight="1">
      <c r="B14" s="19" t="inlineStr"/>
    </row>
    <row r="15">
      <c r="B15" s="20" t="inlineStr">
        <is>
          <t>CÓMO USAR ESTE LIBRO</t>
        </is>
      </c>
    </row>
    <row r="16" ht="15" customHeight="1">
      <c r="B16" s="19" t="inlineStr">
        <is>
          <t>1. Abra 'Parámetros' y ajuste horas/mes, tipo de cambio, impuestos y descuento por compromiso anual.</t>
        </is>
      </c>
    </row>
    <row r="17" ht="28" customHeight="1">
      <c r="B17" s="19" t="inlineStr">
        <is>
          <t>2. Vaya al calculador de Huawei con la región LA-Santiago y reemplace los precios unitarios de la hoja 'Detalle' (columnas G, H, I).</t>
        </is>
      </c>
    </row>
    <row r="18" ht="28" customHeight="1">
      <c r="B18" s="19" t="inlineStr">
        <is>
          <t>3. Revise 'LLM-MaaS': el coste por consulta ya está medido en el proyecto; solo defina el volumen mensual esperado.</t>
        </is>
      </c>
    </row>
    <row r="19" ht="15" customHeight="1">
      <c r="B19" s="19" t="inlineStr">
        <is>
          <t>4. Lea 'Escenarios' para comparar demo, piloto 24×7 y producción, y presente 'Resumen'.</t>
        </is>
      </c>
    </row>
    <row r="20" ht="15" customHeight="1">
      <c r="B20" s="19" t="inlineStr"/>
    </row>
    <row r="21">
      <c r="B21" s="20" t="inlineStr">
        <is>
          <t>QUÉ SE ESTÁ PRESUPUESTANDO</t>
        </is>
      </c>
    </row>
    <row r="22" ht="42" customHeight="1">
      <c r="B22" s="19" t="inlineStr">
        <is>
          <t>La arquitectura de INFRA-HUAWEI-CLOUD.md: 1 ECS de 4 vCPU/8 GB con la API, nginx y la SPA; RDS for PostgreSQL de nodo único en subred privada; EVS de 100 GB para el índice vectorial; OBS para PDFs, snapshot y pesos del modelo; EIP, CBR, LTS y CES. Más el consumo de LLM en ModelArts MaaS, que ya está contratado.</t>
        </is>
      </c>
    </row>
    <row r="23" ht="42" customHeight="1">
      <c r="B23" s="19" t="inlineStr">
        <is>
          <t>El dimensionado no lo fija el tráfico sino el modelo de embeddings bge-m3: ~2,3 GB residentes en RAM, que es lo que obliga a 8 GB en el ECS. La búsqueda no necesita GPU (p95 medido: 176 ms en CPU contra un techo de 2 s).</t>
        </is>
      </c>
    </row>
    <row r="24" ht="15" customHeight="1">
      <c r="B24" s="19" t="inlineStr"/>
    </row>
    <row r="25">
      <c r="B25" s="20" t="inlineStr">
        <is>
          <t>LO QUE ESTE PRESUPUESTO NO INCLUYE</t>
        </is>
      </c>
    </row>
    <row r="26" ht="42" customHeight="1">
      <c r="B26" s="19" t="inlineStr">
        <is>
          <t>Dominio y su renovación · horas de desarrollo e implantación · soporte de pago de Huawei (el plan Basic es gratuito) · licencias de terceros · impuestos locales si el contrato se firma con un socio peruano (parámetro editable en 'Parámetros').</t>
        </is>
      </c>
    </row>
  </sheetData>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D12"/>
  <sheetViews>
    <sheetView showGridLines="0" workbookViewId="0">
      <selection activeCell="A1" sqref="A1"/>
    </sheetView>
  </sheetViews>
  <sheetFormatPr baseColWidth="8" defaultRowHeight="15"/>
  <cols>
    <col width="42" customWidth="1" min="1" max="1"/>
    <col width="16" customWidth="1" min="2" max="2"/>
    <col width="18" customWidth="1" min="3" max="3"/>
    <col width="74" customWidth="1" min="4" max="4"/>
  </cols>
  <sheetData>
    <row r="1">
      <c r="A1" s="1" t="inlineStr">
        <is>
          <t>Parámetros del presupuesto</t>
        </is>
      </c>
    </row>
    <row r="2">
      <c r="A2" s="2" t="inlineStr">
        <is>
          <t>Cambie aquí y todo el libro se recalcula</t>
        </is>
      </c>
    </row>
    <row r="4" ht="30" customHeight="1">
      <c r="A4" s="3" t="inlineStr">
        <is>
          <t>Parámetro</t>
        </is>
      </c>
      <c r="B4" s="3" t="inlineStr">
        <is>
          <t>Valor</t>
        </is>
      </c>
      <c r="C4" s="3" t="inlineStr">
        <is>
          <t>Unidad</t>
        </is>
      </c>
      <c r="D4" s="3" t="inlineStr">
        <is>
          <t>Nota</t>
        </is>
      </c>
    </row>
    <row r="5" ht="30" customHeight="1">
      <c r="A5" s="21" t="inlineStr">
        <is>
          <t>Región</t>
        </is>
      </c>
      <c r="B5" s="22" t="inlineStr">
        <is>
          <t>LA-Santiago</t>
        </is>
      </c>
      <c r="C5" s="21" t="inlineStr">
        <is>
          <t>—</t>
        </is>
      </c>
      <c r="D5" s="21" t="inlineStr">
        <is>
          <t>La región de Huawei Cloud más cercana a Perú (~40-60 ms desde Lima). Requiere cuenta Huawei Cloud INTERNATIONAL, no la del sitio de China.</t>
        </is>
      </c>
    </row>
    <row r="6" ht="30" customHeight="1">
      <c r="A6" s="21" t="inlineStr">
        <is>
          <t>Horas por mes (24×7)</t>
        </is>
      </c>
      <c r="B6" s="22" t="n">
        <v>730</v>
      </c>
      <c r="C6" s="21" t="inlineStr">
        <is>
          <t>h</t>
        </is>
      </c>
      <c r="D6" s="21" t="inlineStr">
        <is>
          <t>Convención de facturación en la nube: 365×24/12 = 730.</t>
        </is>
      </c>
    </row>
    <row r="7" ht="30" customHeight="1">
      <c r="A7" s="21" t="inlineStr">
        <is>
          <t>Horas/mes escenario demo</t>
        </is>
      </c>
      <c r="B7" s="22" t="n">
        <v>80</v>
      </c>
      <c r="C7" s="21" t="inlineStr">
        <is>
          <t>h</t>
        </is>
      </c>
      <c r="D7" s="21" t="inlineStr">
        <is>
          <t>ECS y RDS encendidos solo para ensayos y la demo del CDR. El almacenamiento se paga igual.</t>
        </is>
      </c>
    </row>
    <row r="8" ht="30" customHeight="1">
      <c r="A8" s="21" t="inlineStr">
        <is>
          <t>Tipo de cambio USD → PEN</t>
        </is>
      </c>
      <c r="B8" s="23" t="n">
        <v>3.75</v>
      </c>
      <c r="C8" s="21" t="inlineStr">
        <is>
          <t>S/ por US$</t>
        </is>
      </c>
      <c r="D8" s="21" t="inlineStr">
        <is>
          <t>EDITAR con el tipo de cambio del día de la presentación.</t>
        </is>
      </c>
    </row>
    <row r="9" ht="30" customHeight="1">
      <c r="A9" s="21" t="inlineStr">
        <is>
          <t>Impuestos aplicables</t>
        </is>
      </c>
      <c r="B9" s="24" t="n">
        <v>0</v>
      </c>
      <c r="C9" s="21" t="inlineStr">
        <is>
          <t>%</t>
        </is>
      </c>
      <c r="D9" s="21" t="inlineStr">
        <is>
          <t>0 % si se factura directo con Huawei Cloud International. Si se contrata vía socio peruano, poner 18 % (IGV).</t>
        </is>
      </c>
    </row>
    <row r="10" ht="30" customHeight="1">
      <c r="A10" s="21" t="inlineStr">
        <is>
          <t>Descuento por compromiso anual</t>
        </is>
      </c>
      <c r="B10" s="24" t="n">
        <v>0.35</v>
      </c>
      <c r="C10" s="21" t="inlineStr">
        <is>
          <t>%</t>
        </is>
      </c>
      <c r="D10" s="21" t="inlineStr">
        <is>
          <t>Prepago anual de ECS y RDS. VERIFICAR el descuento real en el calculador; 30-40 % es lo habitual.</t>
        </is>
      </c>
    </row>
    <row r="11" ht="30" customHeight="1">
      <c r="A11" s="21" t="inlineStr">
        <is>
          <t>Runs premium por mes</t>
        </is>
      </c>
      <c r="B11" s="22" t="n">
        <v>100</v>
      </c>
      <c r="C11" s="21" t="inlineStr">
        <is>
          <t>runs</t>
        </is>
      </c>
      <c r="D11" s="21" t="inlineStr">
        <is>
          <t>Consultas completas (5 etapas LLM). Ver hoja LLM-MaaS.</t>
        </is>
      </c>
    </row>
    <row r="12" ht="30" customHeight="1">
      <c r="A12" s="21" t="inlineStr">
        <is>
          <t>Tráfico saliente mensual</t>
        </is>
      </c>
      <c r="B12" s="22" t="n">
        <v>30</v>
      </c>
      <c r="C12" s="21" t="inlineStr">
        <is>
          <t>GB</t>
        </is>
      </c>
      <c r="D12" s="21" t="inlineStr">
        <is>
          <t>SPA (173 KB), PDFs (~200 KB c/u) y API. Estimación conservadora para uso de demo y piloto.</t>
        </is>
      </c>
    </row>
  </sheetData>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N3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30" customWidth="1" min="3" max="3"/>
    <col width="12" customWidth="1" min="4" max="4"/>
    <col width="7" customWidth="1" min="5" max="5"/>
    <col width="10" customWidth="1" min="6" max="6"/>
    <col width="10" customWidth="1" min="7" max="7"/>
    <col width="12" customWidth="1" min="8" max="8"/>
    <col width="10" customWidth="1" min="9" max="9"/>
    <col width="11" customWidth="1" min="10" max="10"/>
    <col width="14" customWidth="1" min="11" max="11"/>
    <col width="11" customWidth="1" min="12" max="12"/>
    <col width="12" customWidth="1" min="13" max="13"/>
    <col width="56" customWidth="1" min="14" max="14"/>
  </cols>
  <sheetData>
    <row r="1">
      <c r="A1" s="1" t="inlineStr">
        <is>
          <t>Detalle mensual de infraestructura — escenario MVP 24×7</t>
        </is>
      </c>
    </row>
    <row r="2">
      <c r="A2" s="2" t="inlineStr">
        <is>
          <t>Columnas G, H, I = celdas de entrada (precio unitario). Todo lo demás son fórmulas.</t>
        </is>
      </c>
    </row>
    <row r="4" ht="30" customHeight="1">
      <c r="A4" s="3" t="inlineStr">
        <is>
          <t>Categoría</t>
        </is>
      </c>
      <c r="B4" s="3" t="inlineStr">
        <is>
          <t>Concepto</t>
        </is>
      </c>
      <c r="C4" s="3" t="inlineStr">
        <is>
          <t>Especificación</t>
        </is>
      </c>
      <c r="D4" s="3" t="inlineStr">
        <is>
          <t>Unidad</t>
        </is>
      </c>
      <c r="E4" s="3" t="inlineStr">
        <is>
          <t>Cant.</t>
        </is>
      </c>
      <c r="F4" s="3" t="inlineStr">
        <is>
          <t>Uso/mes</t>
        </is>
      </c>
      <c r="G4" s="3" t="inlineStr">
        <is>
          <t>P. mín</t>
        </is>
      </c>
      <c r="H4" s="3" t="inlineStr">
        <is>
          <t>P. esperado</t>
        </is>
      </c>
      <c r="I4" s="3" t="inlineStr">
        <is>
          <t>P. máx</t>
        </is>
      </c>
      <c r="J4" s="3" t="inlineStr">
        <is>
          <t>Coste mín</t>
        </is>
      </c>
      <c r="K4" s="3" t="inlineStr">
        <is>
          <t>Coste esperado</t>
        </is>
      </c>
      <c r="L4" s="3" t="inlineStr">
        <is>
          <t>Coste máx</t>
        </is>
      </c>
      <c r="M4" s="3" t="inlineStr">
        <is>
          <t>Confianza</t>
        </is>
      </c>
      <c r="N4" s="3" t="inlineStr">
        <is>
          <t>Cómo verificarlo en el calculador</t>
        </is>
      </c>
    </row>
    <row r="5" ht="30" customHeight="1">
      <c r="A5" s="25" t="inlineStr">
        <is>
          <t>Cómputo</t>
        </is>
      </c>
      <c r="B5" s="26" t="inlineStr">
        <is>
          <t>ECS s7n.xlarge.2</t>
        </is>
      </c>
      <c r="C5" s="21" t="inlineStr">
        <is>
          <t>4 vCPU · 8 GB RAM · Ubuntu 22.04</t>
        </is>
      </c>
      <c r="D5" s="27" t="inlineStr">
        <is>
          <t>US$/hora</t>
        </is>
      </c>
      <c r="E5" s="28" t="n">
        <v>1</v>
      </c>
      <c r="F5" s="28">
        <f>Parametros!$B$6</f>
        <v/>
      </c>
      <c r="G5" s="29" t="n">
        <v>0.096</v>
      </c>
      <c r="H5" s="29" t="n">
        <v>0.125</v>
      </c>
      <c r="I5" s="29" t="n">
        <v>0.15</v>
      </c>
      <c r="J5" s="30">
        <f>$E5*$F5*G5</f>
        <v/>
      </c>
      <c r="K5" s="31">
        <f>$E5*$F5*H5</f>
        <v/>
      </c>
      <c r="L5" s="30">
        <f>$E5*$F5*I5</f>
        <v/>
      </c>
      <c r="M5" s="28" t="inlineStr">
        <is>
          <t>Media</t>
        </is>
      </c>
      <c r="N5" s="21" t="inlineStr">
        <is>
          <t>Calculator → ECS → LA-Santiago → General computing-plus s7n → 4 vCPU/8 GB → Pay-per-use.</t>
        </is>
      </c>
    </row>
    <row r="6" ht="30" customHeight="1">
      <c r="A6" s="25" t="inlineStr">
        <is>
          <t>Cómputo</t>
        </is>
      </c>
      <c r="B6" s="26" t="inlineStr">
        <is>
          <t>Disco de sistema</t>
        </is>
      </c>
      <c r="C6" s="21" t="inlineStr">
        <is>
          <t>EVS SSD de propósito general, 40 GB</t>
        </is>
      </c>
      <c r="D6" s="27" t="inlineStr">
        <is>
          <t>US$/GB-mes</t>
        </is>
      </c>
      <c r="E6" s="28" t="n">
        <v>40</v>
      </c>
      <c r="F6" s="28" t="n">
        <v>1</v>
      </c>
      <c r="G6" s="29" t="n">
        <v>0.1</v>
      </c>
      <c r="H6" s="29" t="n">
        <v>0.12</v>
      </c>
      <c r="I6" s="29" t="n">
        <v>0.15</v>
      </c>
      <c r="J6" s="30">
        <f>$E6*$F6*G6</f>
        <v/>
      </c>
      <c r="K6" s="31">
        <f>$E6*$F6*H6</f>
        <v/>
      </c>
      <c r="L6" s="30">
        <f>$E6*$F6*I6</f>
        <v/>
      </c>
      <c r="M6" s="28" t="inlineStr">
        <is>
          <t>Media</t>
        </is>
      </c>
      <c r="N6" s="21" t="inlineStr">
        <is>
          <t>Calculator → EVS → General Purpose SSD → 40 GB. Se factura por GB-mes, no por uso.</t>
        </is>
      </c>
    </row>
    <row r="7" ht="30" customHeight="1">
      <c r="A7" s="25" t="inlineStr">
        <is>
          <t>Cómputo</t>
        </is>
      </c>
      <c r="B7" s="26" t="inlineStr">
        <is>
          <t>Imagen del SO</t>
        </is>
      </c>
      <c r="C7" s="21" t="inlineStr">
        <is>
          <t>Ubuntu 22.04 LTS (imagen pública)</t>
        </is>
      </c>
      <c r="D7" s="27" t="inlineStr">
        <is>
          <t>US$/mes</t>
        </is>
      </c>
      <c r="E7" s="28" t="n">
        <v>1</v>
      </c>
      <c r="F7" s="28" t="n">
        <v>1</v>
      </c>
      <c r="G7" s="29" t="n">
        <v>0</v>
      </c>
      <c r="H7" s="29" t="n">
        <v>0</v>
      </c>
      <c r="I7" s="29" t="n">
        <v>0</v>
      </c>
      <c r="J7" s="30">
        <f>$E7*$F7*G7</f>
        <v/>
      </c>
      <c r="K7" s="31">
        <f>$E7*$F7*H7</f>
        <v/>
      </c>
      <c r="L7" s="30">
        <f>$E7*$F7*I7</f>
        <v/>
      </c>
      <c r="M7" s="28" t="inlineStr">
        <is>
          <t>Alta</t>
        </is>
      </c>
      <c r="N7" s="21" t="inlineStr">
        <is>
          <t>Las imágenes públicas no tienen coste de licencia.</t>
        </is>
      </c>
    </row>
    <row r="8" ht="30" customHeight="1">
      <c r="A8" s="25" t="inlineStr">
        <is>
          <t>Base de datos</t>
        </is>
      </c>
      <c r="B8" s="26" t="inlineStr">
        <is>
          <t>RDS PostgreSQL 16</t>
        </is>
      </c>
      <c r="C8" s="21" t="inlineStr">
        <is>
          <t>rds.pg.n1.large.2 · 2 vCPU/4 GB · nodo único</t>
        </is>
      </c>
      <c r="D8" s="27" t="inlineStr">
        <is>
          <t>US$/hora</t>
        </is>
      </c>
      <c r="E8" s="28" t="n">
        <v>1</v>
      </c>
      <c r="F8" s="28">
        <f>Parametros!$B$6</f>
        <v/>
      </c>
      <c r="G8" s="29" t="n">
        <v>0.07000000000000001</v>
      </c>
      <c r="H8" s="29" t="n">
        <v>0.095</v>
      </c>
      <c r="I8" s="29" t="n">
        <v>0.12</v>
      </c>
      <c r="J8" s="30">
        <f>$E8*$F8*G8</f>
        <v/>
      </c>
      <c r="K8" s="31">
        <f>$E8*$F8*H8</f>
        <v/>
      </c>
      <c r="L8" s="30">
        <f>$E8*$F8*I8</f>
        <v/>
      </c>
      <c r="M8" s="28" t="inlineStr">
        <is>
          <t>Media</t>
        </is>
      </c>
      <c r="N8" s="21" t="inlineStr">
        <is>
          <t>Calculator → RDS → PostgreSQL → Single → 2 vCPU/4 GB. La opción Primary/Standby DUPLICA este importe.</t>
        </is>
      </c>
    </row>
    <row r="9" ht="30" customHeight="1">
      <c r="A9" s="25" t="inlineStr">
        <is>
          <t>Base de datos</t>
        </is>
      </c>
      <c r="B9" s="26" t="inlineStr">
        <is>
          <t>Almacenamiento RDS</t>
        </is>
      </c>
      <c r="C9" s="21" t="inlineStr">
        <is>
          <t>SSD en la nube, 40 GB (mínimo)</t>
        </is>
      </c>
      <c r="D9" s="27" t="inlineStr">
        <is>
          <t>US$/GB-mes</t>
        </is>
      </c>
      <c r="E9" s="28" t="n">
        <v>40</v>
      </c>
      <c r="F9" s="28" t="n">
        <v>1</v>
      </c>
      <c r="G9" s="29" t="n">
        <v>0.15</v>
      </c>
      <c r="H9" s="29" t="n">
        <v>0.18</v>
      </c>
      <c r="I9" s="29" t="n">
        <v>0.22</v>
      </c>
      <c r="J9" s="30">
        <f>$E9*$F9*G9</f>
        <v/>
      </c>
      <c r="K9" s="31">
        <f>$E9*$F9*H9</f>
        <v/>
      </c>
      <c r="L9" s="30">
        <f>$E9*$F9*I9</f>
        <v/>
      </c>
      <c r="M9" s="28" t="inlineStr">
        <is>
          <t>Media</t>
        </is>
      </c>
      <c r="N9" s="21" t="inlineStr">
        <is>
          <t>Mismo asistente, apartado Storage. 40 GB es el mínimo que admite RDS.</t>
        </is>
      </c>
    </row>
    <row r="10" ht="30" customHeight="1">
      <c r="A10" s="25" t="inlineStr">
        <is>
          <t>Base de datos</t>
        </is>
      </c>
      <c r="B10" s="26" t="inlineStr">
        <is>
          <t>Backup automático + PITR</t>
        </is>
      </c>
      <c r="C10" s="21" t="inlineStr">
        <is>
          <t>Retención 7 días</t>
        </is>
      </c>
      <c r="D10" s="27" t="inlineStr">
        <is>
          <t>US$/mes</t>
        </is>
      </c>
      <c r="E10" s="28" t="n">
        <v>1</v>
      </c>
      <c r="F10" s="28" t="n">
        <v>1</v>
      </c>
      <c r="G10" s="29" t="n">
        <v>0</v>
      </c>
      <c r="H10" s="29" t="n">
        <v>0</v>
      </c>
      <c r="I10" s="29" t="n">
        <v>3</v>
      </c>
      <c r="J10" s="30">
        <f>$E10*$F10*G10</f>
        <v/>
      </c>
      <c r="K10" s="31">
        <f>$E10*$F10*H10</f>
        <v/>
      </c>
      <c r="L10" s="30">
        <f>$E10*$F10*I10</f>
        <v/>
      </c>
      <c r="M10" s="28" t="inlineStr">
        <is>
          <t>Baja</t>
        </is>
      </c>
      <c r="N10" s="21" t="inlineStr">
        <is>
          <t>Huawei suele incluir sin cargo un backup del tamaño del almacenamiento contratado; el exceso se cobra. CONFIRMAR.</t>
        </is>
      </c>
    </row>
    <row r="11" ht="30" customHeight="1">
      <c r="A11" s="25" t="inlineStr">
        <is>
          <t>Almacenamiento</t>
        </is>
      </c>
      <c r="B11" s="26" t="inlineStr">
        <is>
          <t>EVS de datos</t>
        </is>
      </c>
      <c r="C11" s="21" t="inlineStr">
        <is>
          <t>SSD 100 GB montado en /data (índice + snapshot)</t>
        </is>
      </c>
      <c r="D11" s="27" t="inlineStr">
        <is>
          <t>US$/GB-mes</t>
        </is>
      </c>
      <c r="E11" s="28" t="n">
        <v>100</v>
      </c>
      <c r="F11" s="28" t="n">
        <v>1</v>
      </c>
      <c r="G11" s="29" t="n">
        <v>0.1</v>
      </c>
      <c r="H11" s="29" t="n">
        <v>0.12</v>
      </c>
      <c r="I11" s="29" t="n">
        <v>0.15</v>
      </c>
      <c r="J11" s="30">
        <f>$E11*$F11*G11</f>
        <v/>
      </c>
      <c r="K11" s="31">
        <f>$E11*$F11*H11</f>
        <v/>
      </c>
      <c r="L11" s="30">
        <f>$E11*$F11*I11</f>
        <v/>
      </c>
      <c r="M11" s="28" t="inlineStr">
        <is>
          <t>Media</t>
        </is>
      </c>
      <c r="N11" s="21" t="inlineStr">
        <is>
          <t>Calculator → EVS → General Purpose SSD → 100 GB.</t>
        </is>
      </c>
    </row>
    <row r="12" ht="30" customHeight="1">
      <c r="A12" s="25" t="inlineStr">
        <is>
          <t>Almacenamiento</t>
        </is>
      </c>
      <c r="B12" s="26" t="inlineStr">
        <is>
          <t>OBS Standard</t>
        </is>
      </c>
      <c r="C12" s="21" t="inlineStr">
        <is>
          <t>PDFs + snapshot + pesos bge-m3 (~20 GB)</t>
        </is>
      </c>
      <c r="D12" s="27" t="inlineStr">
        <is>
          <t>US$/GB-mes</t>
        </is>
      </c>
      <c r="E12" s="28" t="n">
        <v>20</v>
      </c>
      <c r="F12" s="28" t="n">
        <v>1</v>
      </c>
      <c r="G12" s="29" t="n">
        <v>0.019</v>
      </c>
      <c r="H12" s="29" t="n">
        <v>0.024</v>
      </c>
      <c r="I12" s="29" t="n">
        <v>0.03</v>
      </c>
      <c r="J12" s="30">
        <f>$E12*$F12*G12</f>
        <v/>
      </c>
      <c r="K12" s="31">
        <f>$E12*$F12*H12</f>
        <v/>
      </c>
      <c r="L12" s="30">
        <f>$E12*$F12*I12</f>
        <v/>
      </c>
      <c r="M12" s="28" t="inlineStr">
        <is>
          <t>Media</t>
        </is>
      </c>
      <c r="N12" s="21" t="inlineStr">
        <is>
          <t>Calculator → OBS → Standard storage → región LA-Santiago.</t>
        </is>
      </c>
    </row>
    <row r="13" ht="30" customHeight="1">
      <c r="A13" s="25" t="inlineStr">
        <is>
          <t>Almacenamiento</t>
        </is>
      </c>
      <c r="B13" s="26" t="inlineStr">
        <is>
          <t>OBS peticiones y salida</t>
        </is>
      </c>
      <c r="C13" s="21" t="inlineStr">
        <is>
          <t>Volumen bajo: demo y sincronización del nodo</t>
        </is>
      </c>
      <c r="D13" s="27" t="inlineStr">
        <is>
          <t>US$/mes</t>
        </is>
      </c>
      <c r="E13" s="28" t="n">
        <v>1</v>
      </c>
      <c r="F13" s="28" t="n">
        <v>1</v>
      </c>
      <c r="G13" s="29" t="n">
        <v>0.5</v>
      </c>
      <c r="H13" s="29" t="n">
        <v>1</v>
      </c>
      <c r="I13" s="29" t="n">
        <v>2</v>
      </c>
      <c r="J13" s="30">
        <f>$E13*$F13*G13</f>
        <v/>
      </c>
      <c r="K13" s="31">
        <f>$E13*$F13*H13</f>
        <v/>
      </c>
      <c r="L13" s="30">
        <f>$E13*$F13*I13</f>
        <v/>
      </c>
      <c r="M13" s="28" t="inlineStr">
        <is>
          <t>Baja</t>
        </is>
      </c>
      <c r="N13" s="21" t="inlineStr">
        <is>
          <t>Se cobra por cada 10.000 peticiones y por tráfico saliente. Difícil de precisar sin uso real.</t>
        </is>
      </c>
    </row>
    <row r="14" ht="30" customHeight="1">
      <c r="A14" s="25" t="inlineStr">
        <is>
          <t>Almacenamiento</t>
        </is>
      </c>
      <c r="B14" s="26" t="inlineStr">
        <is>
          <t>CBR — respaldo del disco</t>
        </is>
      </c>
      <c r="C14" s="21" t="inlineStr">
        <is>
          <t>Copia diaria de /data, retención 7 días</t>
        </is>
      </c>
      <c r="D14" s="27" t="inlineStr">
        <is>
          <t>US$/GB-mes</t>
        </is>
      </c>
      <c r="E14" s="28" t="n">
        <v>100</v>
      </c>
      <c r="F14" s="28" t="n">
        <v>1</v>
      </c>
      <c r="G14" s="29" t="n">
        <v>0.05</v>
      </c>
      <c r="H14" s="29" t="n">
        <v>0.06</v>
      </c>
      <c r="I14" s="29" t="n">
        <v>0.08</v>
      </c>
      <c r="J14" s="30">
        <f>$E14*$F14*G14</f>
        <v/>
      </c>
      <c r="K14" s="31">
        <f>$E14*$F14*H14</f>
        <v/>
      </c>
      <c r="L14" s="30">
        <f>$E14*$F14*I14</f>
        <v/>
      </c>
      <c r="M14" s="28" t="inlineStr">
        <is>
          <t>Media</t>
        </is>
      </c>
      <c r="N14" s="21" t="inlineStr">
        <is>
          <t>Calculator → CBR → Cloud Server Backup → 100 GB de capacidad de bóveda.</t>
        </is>
      </c>
    </row>
    <row r="15" ht="30" customHeight="1">
      <c r="A15" s="25" t="inlineStr">
        <is>
          <t>Red</t>
        </is>
      </c>
      <c r="B15" s="26" t="inlineStr">
        <is>
          <t>EIP — cargo por IP</t>
        </is>
      </c>
      <c r="C15" s="21" t="inlineStr">
        <is>
          <t>1 IP elástica asociada al ECS</t>
        </is>
      </c>
      <c r="D15" s="27" t="inlineStr">
        <is>
          <t>US$/hora</t>
        </is>
      </c>
      <c r="E15" s="28" t="n">
        <v>1</v>
      </c>
      <c r="F15" s="28">
        <f>Parametros!$B$6</f>
        <v/>
      </c>
      <c r="G15" s="29" t="n">
        <v>0.005</v>
      </c>
      <c r="H15" s="29" t="n">
        <v>0.007</v>
      </c>
      <c r="I15" s="29" t="n">
        <v>0.01</v>
      </c>
      <c r="J15" s="30">
        <f>$E15*$F15*G15</f>
        <v/>
      </c>
      <c r="K15" s="31">
        <f>$E15*$F15*H15</f>
        <v/>
      </c>
      <c r="L15" s="30">
        <f>$E15*$F15*I15</f>
        <v/>
      </c>
      <c r="M15" s="28" t="inlineStr">
        <is>
          <t>Media</t>
        </is>
      </c>
      <c r="N15" s="21" t="inlineStr">
        <is>
          <t>Calculator → EIP → Pay-per-use → facturación por tráfico. El cargo por IP es aparte.</t>
        </is>
      </c>
    </row>
    <row r="16" ht="30" customHeight="1">
      <c r="A16" s="25" t="inlineStr">
        <is>
          <t>Red</t>
        </is>
      </c>
      <c r="B16" s="26" t="inlineStr">
        <is>
          <t>Tráfico saliente</t>
        </is>
      </c>
      <c r="C16" s="21" t="inlineStr">
        <is>
          <t>SPA, API y descarga de PDFs</t>
        </is>
      </c>
      <c r="D16" s="27" t="inlineStr">
        <is>
          <t>US$/GB</t>
        </is>
      </c>
      <c r="E16" s="28" t="n">
        <v>1</v>
      </c>
      <c r="F16" s="28">
        <f>Parametros!$B$12</f>
        <v/>
      </c>
      <c r="G16" s="29" t="n">
        <v>0.08</v>
      </c>
      <c r="H16" s="29" t="n">
        <v>0.09</v>
      </c>
      <c r="I16" s="29" t="n">
        <v>0.12</v>
      </c>
      <c r="J16" s="30">
        <f>$E16*$F16*G16</f>
        <v/>
      </c>
      <c r="K16" s="31">
        <f>$E16*$F16*H16</f>
        <v/>
      </c>
      <c r="L16" s="30">
        <f>$E16*$F16*I16</f>
        <v/>
      </c>
      <c r="M16" s="28" t="inlineStr">
        <is>
          <t>Media</t>
        </is>
      </c>
      <c r="N16" s="21" t="inlineStr">
        <is>
          <t>El tráfico ENTRANTE no se cobra. Solo se paga la salida a internet.</t>
        </is>
      </c>
    </row>
    <row r="17" ht="30" customHeight="1">
      <c r="A17" s="25" t="inlineStr">
        <is>
          <t>Operación</t>
        </is>
      </c>
      <c r="B17" s="26" t="inlineStr">
        <is>
          <t>LTS — logs</t>
        </is>
      </c>
      <c r="C17" s="21" t="inlineStr">
        <is>
          <t>nginx + contenedor, ~2 GB/mes, retención 7 días</t>
        </is>
      </c>
      <c r="D17" s="27" t="inlineStr">
        <is>
          <t>US$/GB</t>
        </is>
      </c>
      <c r="E17" s="28" t="n">
        <v>1</v>
      </c>
      <c r="F17" s="28" t="n">
        <v>2</v>
      </c>
      <c r="G17" s="29" t="n">
        <v>0.3</v>
      </c>
      <c r="H17" s="29" t="n">
        <v>0.4</v>
      </c>
      <c r="I17" s="29" t="n">
        <v>0.5</v>
      </c>
      <c r="J17" s="30">
        <f>$E17*$F17*G17</f>
        <v/>
      </c>
      <c r="K17" s="31">
        <f>$E17*$F17*H17</f>
        <v/>
      </c>
      <c r="L17" s="30">
        <f>$E17*$F17*I17</f>
        <v/>
      </c>
      <c r="M17" s="28" t="inlineStr">
        <is>
          <t>Baja</t>
        </is>
      </c>
      <c r="N17" s="21" t="inlineStr">
        <is>
          <t>Suele haber una cuota gratuita mensual de ingesta; comprobarla antes de presupuestar.</t>
        </is>
      </c>
    </row>
    <row r="18" ht="30" customHeight="1">
      <c r="A18" s="25" t="inlineStr">
        <is>
          <t>Operación</t>
        </is>
      </c>
      <c r="B18" s="26" t="inlineStr">
        <is>
          <t>CES + SMN — alarmas</t>
        </is>
      </c>
      <c r="C18" s="21" t="inlineStr">
        <is>
          <t>5 alarmas con aviso por correo</t>
        </is>
      </c>
      <c r="D18" s="27" t="inlineStr">
        <is>
          <t>US$/mes</t>
        </is>
      </c>
      <c r="E18" s="28" t="n">
        <v>1</v>
      </c>
      <c r="F18" s="28" t="n">
        <v>1</v>
      </c>
      <c r="G18" s="29" t="n">
        <v>0</v>
      </c>
      <c r="H18" s="29" t="n">
        <v>0</v>
      </c>
      <c r="I18" s="29" t="n">
        <v>1</v>
      </c>
      <c r="J18" s="30">
        <f>$E18*$F18*G18</f>
        <v/>
      </c>
      <c r="K18" s="31">
        <f>$E18*$F18*H18</f>
        <v/>
      </c>
      <c r="L18" s="30">
        <f>$E18*$F18*I18</f>
        <v/>
      </c>
      <c r="M18" s="28" t="inlineStr">
        <is>
          <t>Media</t>
        </is>
      </c>
      <c r="N18" s="21" t="inlineStr">
        <is>
          <t>La monitorización básica de CES y el correo de SMN son gratuitos en volúmenes bajos.</t>
        </is>
      </c>
    </row>
    <row r="19" ht="30" customHeight="1">
      <c r="A19" s="25" t="inlineStr">
        <is>
          <t>Operación</t>
        </is>
      </c>
      <c r="B19" s="26" t="inlineStr">
        <is>
          <t>DAS — consola SQL</t>
        </is>
      </c>
      <c r="C19" s="21" t="inlineStr">
        <is>
          <t>Acceso a RDS desde el navegador</t>
        </is>
      </c>
      <c r="D19" s="27" t="inlineStr">
        <is>
          <t>US$/mes</t>
        </is>
      </c>
      <c r="E19" s="28" t="n">
        <v>1</v>
      </c>
      <c r="F19" s="28" t="n">
        <v>1</v>
      </c>
      <c r="G19" s="29" t="n">
        <v>0</v>
      </c>
      <c r="H19" s="29" t="n">
        <v>0</v>
      </c>
      <c r="I19" s="29" t="n">
        <v>0</v>
      </c>
      <c r="J19" s="30">
        <f>$E19*$F19*G19</f>
        <v/>
      </c>
      <c r="K19" s="31">
        <f>$E19*$F19*H19</f>
        <v/>
      </c>
      <c r="L19" s="30">
        <f>$E19*$F19*I19</f>
        <v/>
      </c>
      <c r="M19" s="28" t="inlineStr">
        <is>
          <t>Media</t>
        </is>
      </c>
      <c r="N19" s="21" t="inlineStr">
        <is>
          <t>La edición estándar de DAS es gratuita.</t>
        </is>
      </c>
    </row>
    <row r="20" ht="30" customHeight="1">
      <c r="A20" s="25" t="inlineStr">
        <is>
          <t>Operación</t>
        </is>
      </c>
      <c r="B20" s="26" t="inlineStr">
        <is>
          <t>SCM — certificado TLS</t>
        </is>
      </c>
      <c r="C20" s="21" t="inlineStr">
        <is>
          <t>Certificado de dominio único</t>
        </is>
      </c>
      <c r="D20" s="27" t="inlineStr">
        <is>
          <t>US$/mes</t>
        </is>
      </c>
      <c r="E20" s="28" t="n">
        <v>1</v>
      </c>
      <c r="F20" s="28" t="n">
        <v>1</v>
      </c>
      <c r="G20" s="29" t="n">
        <v>0</v>
      </c>
      <c r="H20" s="29" t="n">
        <v>0</v>
      </c>
      <c r="I20" s="29" t="n">
        <v>0</v>
      </c>
      <c r="J20" s="30">
        <f>$E20*$F20*G20</f>
        <v/>
      </c>
      <c r="K20" s="31">
        <f>$E20*$F20*H20</f>
        <v/>
      </c>
      <c r="L20" s="30">
        <f>$E20*$F20*I20</f>
        <v/>
      </c>
      <c r="M20" s="28" t="inlineStr">
        <is>
          <t>Media</t>
        </is>
      </c>
      <c r="N20" s="21" t="inlineStr">
        <is>
          <t>Existe certificado gratuito. Alternativa sin coste: Let's Encrypt en el propio nginx.</t>
        </is>
      </c>
    </row>
    <row r="21" ht="30" customHeight="1">
      <c r="A21" s="25" t="inlineStr">
        <is>
          <t>Operación</t>
        </is>
      </c>
      <c r="B21" s="26" t="inlineStr">
        <is>
          <t>DNS — zona pública</t>
        </is>
      </c>
      <c r="C21" s="21" t="inlineStr">
        <is>
          <t>1 zona alojada</t>
        </is>
      </c>
      <c r="D21" s="27" t="inlineStr">
        <is>
          <t>US$/mes</t>
        </is>
      </c>
      <c r="E21" s="28" t="n">
        <v>1</v>
      </c>
      <c r="F21" s="28" t="n">
        <v>1</v>
      </c>
      <c r="G21" s="29" t="n">
        <v>0.5</v>
      </c>
      <c r="H21" s="29" t="n">
        <v>0.5</v>
      </c>
      <c r="I21" s="29" t="n">
        <v>0.5</v>
      </c>
      <c r="J21" s="30">
        <f>$E21*$F21*G21</f>
        <v/>
      </c>
      <c r="K21" s="31">
        <f>$E21*$F21*H21</f>
        <v/>
      </c>
      <c r="L21" s="30">
        <f>$E21*$F21*I21</f>
        <v/>
      </c>
      <c r="M21" s="28" t="inlineStr">
        <is>
          <t>Media</t>
        </is>
      </c>
      <c r="N21" s="21" t="inlineStr">
        <is>
          <t>Coste bajo y estable. No incluye el registro del dominio.</t>
        </is>
      </c>
    </row>
    <row r="23">
      <c r="B23" s="14" t="inlineStr">
        <is>
          <t>SUBTOTALES POR CATEGORÍA</t>
        </is>
      </c>
    </row>
    <row r="24">
      <c r="B24" s="14" t="inlineStr">
        <is>
          <t>Cómputo</t>
        </is>
      </c>
      <c r="J24" s="9">
        <f>SUMIF($A$5:$A$21,$B24,J$5:J$21)</f>
        <v/>
      </c>
      <c r="K24" s="9">
        <f>SUMIF($A$5:$A$21,$B24,K$5:K$21)</f>
        <v/>
      </c>
      <c r="L24" s="9">
        <f>SUMIF($A$5:$A$21,$B24,L$5:L$21)</f>
        <v/>
      </c>
    </row>
    <row r="25">
      <c r="B25" s="14" t="inlineStr">
        <is>
          <t>Base de datos</t>
        </is>
      </c>
      <c r="J25" s="9">
        <f>SUMIF($A$5:$A$21,$B25,J$5:J$21)</f>
        <v/>
      </c>
      <c r="K25" s="9">
        <f>SUMIF($A$5:$A$21,$B25,K$5:K$21)</f>
        <v/>
      </c>
      <c r="L25" s="9">
        <f>SUMIF($A$5:$A$21,$B25,L$5:L$21)</f>
        <v/>
      </c>
    </row>
    <row r="26">
      <c r="B26" s="14" t="inlineStr">
        <is>
          <t>Almacenamiento</t>
        </is>
      </c>
      <c r="J26" s="9">
        <f>SUMIF($A$5:$A$21,$B26,J$5:J$21)</f>
        <v/>
      </c>
      <c r="K26" s="9">
        <f>SUMIF($A$5:$A$21,$B26,K$5:K$21)</f>
        <v/>
      </c>
      <c r="L26" s="9">
        <f>SUMIF($A$5:$A$21,$B26,L$5:L$21)</f>
        <v/>
      </c>
    </row>
    <row r="27">
      <c r="B27" s="14" t="inlineStr">
        <is>
          <t>Red</t>
        </is>
      </c>
      <c r="J27" s="9">
        <f>SUMIF($A$5:$A$21,$B27,J$5:J$21)</f>
        <v/>
      </c>
      <c r="K27" s="9">
        <f>SUMIF($A$5:$A$21,$B27,K$5:K$21)</f>
        <v/>
      </c>
      <c r="L27" s="9">
        <f>SUMIF($A$5:$A$21,$B27,L$5:L$21)</f>
        <v/>
      </c>
    </row>
    <row r="28">
      <c r="B28" s="14" t="inlineStr">
        <is>
          <t>Operación</t>
        </is>
      </c>
      <c r="J28" s="9">
        <f>SUMIF($A$5:$A$21,$B28,J$5:J$21)</f>
        <v/>
      </c>
      <c r="K28" s="9">
        <f>SUMIF($A$5:$A$21,$B28,K$5:K$21)</f>
        <v/>
      </c>
      <c r="L28" s="9">
        <f>SUMIF($A$5:$A$21,$B28,L$5:L$21)</f>
        <v/>
      </c>
    </row>
    <row r="30">
      <c r="B30" s="18" t="inlineStr">
        <is>
          <t>TOTAL INFRAESTRUCTURA (mes)</t>
        </is>
      </c>
      <c r="J30" s="32">
        <f>SUM(J24:J28)</f>
        <v/>
      </c>
      <c r="K30" s="32">
        <f>SUM(K24:K28)</f>
        <v/>
      </c>
      <c r="L30" s="32">
        <f>SUM(L24:L28)</f>
        <v/>
      </c>
    </row>
  </sheetData>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D16"/>
  <sheetViews>
    <sheetView showGridLines="0" workbookViewId="0">
      <selection activeCell="A1" sqref="A1"/>
    </sheetView>
  </sheetViews>
  <sheetFormatPr baseColWidth="8" defaultRowHeight="15"/>
  <cols>
    <col width="40" customWidth="1" min="1" max="1"/>
    <col width="14" customWidth="1" min="2" max="2"/>
    <col width="14" customWidth="1" min="3" max="3"/>
    <col width="82" customWidth="1" min="4" max="4"/>
  </cols>
  <sheetData>
    <row r="1">
      <c r="A1" s="1" t="inlineStr">
        <is>
          <t>Consumo de LLM — ModelArts MaaS</t>
        </is>
      </c>
    </row>
    <row r="2">
      <c r="A2" s="2" t="inlineStr">
        <is>
          <t>Único bloque con datos MEDIDOS en el proyecto, no estimados</t>
        </is>
      </c>
    </row>
    <row r="4" ht="30" customHeight="1">
      <c r="A4" s="3" t="inlineStr">
        <is>
          <t>Concepto</t>
        </is>
      </c>
      <c r="B4" s="3" t="inlineStr">
        <is>
          <t>Valor</t>
        </is>
      </c>
      <c r="C4" s="3" t="inlineStr">
        <is>
          <t>Unidad</t>
        </is>
      </c>
      <c r="D4" s="3" t="inlineStr">
        <is>
          <t>Origen del dato</t>
        </is>
      </c>
    </row>
    <row r="5" ht="30" customHeight="1">
      <c r="A5" s="4" t="inlineStr">
        <is>
          <t>Coste por run premium (5 etapas, en frío)</t>
        </is>
      </c>
      <c r="B5" s="33" t="n">
        <v>0.21</v>
      </c>
      <c r="C5" s="4" t="inlineStr">
        <is>
          <t>US$/run</t>
        </is>
      </c>
      <c r="D5" s="21" t="inlineStr">
        <is>
          <t>MEDIDO el 2026-08-02 y anotado en .env.example: entre US$ 0,19 y 0,23. Tres de las cinco etapas usan glm-5.2.</t>
        </is>
      </c>
    </row>
    <row r="6" ht="30" customHeight="1">
      <c r="A6" s="4" t="inlineStr">
        <is>
          <t>Coste por run gratuito (3 etapas)</t>
        </is>
      </c>
      <c r="B6" s="34" t="n">
        <v>0.05</v>
      </c>
      <c r="C6" s="4" t="inlineStr">
        <is>
          <t>US$/run</t>
        </is>
      </c>
      <c r="D6" s="21" t="inlineStr">
        <is>
          <t>Estimado a partir del anterior: sin las etapas 4 y 5, que son las caras.</t>
        </is>
      </c>
    </row>
    <row r="7" ht="30" customHeight="1">
      <c r="A7" s="4" t="inlineStr">
        <is>
          <t>Runs premium al mes</t>
        </is>
      </c>
      <c r="B7" s="35">
        <f>Parametros!$B$11</f>
        <v/>
      </c>
      <c r="C7" s="4" t="inlineStr">
        <is>
          <t>runs</t>
        </is>
      </c>
      <c r="D7" s="21" t="inlineStr">
        <is>
          <t>Parámetro editable en la hoja 'Parámetros'.</t>
        </is>
      </c>
    </row>
    <row r="8" ht="30" customHeight="1">
      <c r="A8" s="4" t="inlineStr">
        <is>
          <t>Runs gratuitos al mes</t>
        </is>
      </c>
      <c r="B8" s="35" t="n">
        <v>200</v>
      </c>
      <c r="C8" s="4" t="inlineStr">
        <is>
          <t>runs</t>
        </is>
      </c>
      <c r="D8" s="21" t="inlineStr">
        <is>
          <t>EDITAR. En el plan gratuito el paywall corta antes de la etapa 4.</t>
        </is>
      </c>
    </row>
    <row r="9" ht="30" customHeight="1">
      <c r="A9" s="4" t="inlineStr">
        <is>
          <t>Ahorro por cache de respuestas</t>
        </is>
      </c>
      <c r="B9" s="24" t="n">
        <v>0.3</v>
      </c>
      <c r="C9" s="4" t="inlineStr">
        <is>
          <t>%</t>
        </is>
      </c>
      <c r="D9" s="21" t="inlineStr">
        <is>
          <t>El envoltorio etapa() cachea por (entrada, modelo, etapa, snapshot). En demos con consultas repetidas el ahorro real es mayor.</t>
        </is>
      </c>
    </row>
    <row r="11">
      <c r="A11" s="18" t="inlineStr">
        <is>
          <t>COSTE MENSUAL DE LLM</t>
        </is>
      </c>
      <c r="B11" s="32">
        <f>(B5*B7+B6*B8)*(1-B9)</f>
        <v/>
      </c>
    </row>
    <row r="13">
      <c r="A13" s="14" t="inlineStr">
        <is>
          <t>Control de gasto ya implementado en la aplicación</t>
        </is>
      </c>
    </row>
    <row r="14" ht="30" customHeight="1">
      <c r="A14" s="19" t="inlineStr">
        <is>
          <t>El kill-switch de la Semana 3 (PRESUPUESTO_GLOBAL_MES_USD, hoy 10) corta TODAS las llamadas al LLM al superar el tope: los runs siguen devolviendo 200 con informe parcial y motivo 'presupuesto'. Nunca un error.</t>
        </is>
      </c>
    </row>
    <row r="15" ht="30" customHeight="1">
      <c r="A15" s="19" t="inlineStr">
        <is>
          <t>Con US$ 0,21 por run premium, un tope de US$ 10/mes son ~45 runs para toda la institución: sobra para la demo del CDR y se queda corto para uso real. Subirlo es una decisión consciente, no un descuido.</t>
        </is>
      </c>
    </row>
    <row r="16" ht="30" customHeight="1">
      <c r="A16" s="19" t="inlineStr">
        <is>
          <t>Hay además topes por run (US$ 0,25) y por usuario/mes (US$ 2 gratuito, US$ 10 premium).</t>
        </is>
      </c>
    </row>
  </sheetData>
  <mergeCells count="3">
    <mergeCell ref="A15:D15"/>
    <mergeCell ref="A16:D16"/>
    <mergeCell ref="A14:D14"/>
  </mergeCell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N3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26" customWidth="1" min="2" max="2"/>
    <col width="30" customWidth="1" min="3" max="3"/>
    <col width="12" customWidth="1" min="4" max="4"/>
    <col width="7" customWidth="1" min="5" max="5"/>
    <col width="10" customWidth="1" min="6" max="6"/>
    <col width="10" customWidth="1" min="7" max="7"/>
    <col width="12" customWidth="1" min="8" max="8"/>
    <col width="10" customWidth="1" min="9" max="9"/>
    <col width="11" customWidth="1" min="10" max="10"/>
    <col width="14" customWidth="1" min="11" max="11"/>
    <col width="11" customWidth="1" min="12" max="12"/>
    <col width="12" customWidth="1" min="13" max="13"/>
    <col width="60" customWidth="1" min="14" max="14"/>
  </cols>
  <sheetData>
    <row r="1">
      <c r="A1" s="1" t="inlineStr">
        <is>
          <t>Escenario C · Producción CITE — detalle por línea</t>
        </is>
      </c>
    </row>
    <row r="2">
      <c r="A2" s="2" t="inlineStr">
        <is>
          <t>Fase 2 del ADR-003: 100-300 organizaciones · 2 réplicas de API con balanceador · base en alta disponibilidad</t>
        </is>
      </c>
    </row>
    <row r="4" ht="30" customHeight="1">
      <c r="A4" s="3" t="inlineStr">
        <is>
          <t>Categoría</t>
        </is>
      </c>
      <c r="B4" s="3" t="inlineStr">
        <is>
          <t>Concepto</t>
        </is>
      </c>
      <c r="C4" s="3" t="inlineStr">
        <is>
          <t>Especificación</t>
        </is>
      </c>
      <c r="D4" s="3" t="inlineStr">
        <is>
          <t>Unidad</t>
        </is>
      </c>
      <c r="E4" s="3" t="inlineStr">
        <is>
          <t>Cant.</t>
        </is>
      </c>
      <c r="F4" s="3" t="inlineStr">
        <is>
          <t>Uso/mes</t>
        </is>
      </c>
      <c r="G4" s="3" t="inlineStr">
        <is>
          <t>P. mín</t>
        </is>
      </c>
      <c r="H4" s="3" t="inlineStr">
        <is>
          <t>P. esperado</t>
        </is>
      </c>
      <c r="I4" s="3" t="inlineStr">
        <is>
          <t>P. máx</t>
        </is>
      </c>
      <c r="J4" s="3" t="inlineStr">
        <is>
          <t>Coste mín</t>
        </is>
      </c>
      <c r="K4" s="3" t="inlineStr">
        <is>
          <t>Coste esperado</t>
        </is>
      </c>
      <c r="L4" s="3" t="inlineStr">
        <is>
          <t>Coste máx</t>
        </is>
      </c>
      <c r="M4" s="3" t="inlineStr">
        <is>
          <t>Confianza</t>
        </is>
      </c>
      <c r="N4" s="3" t="inlineStr">
        <is>
          <t>Por qué entra en producción y no en el MVP</t>
        </is>
      </c>
    </row>
    <row r="5" ht="32" customHeight="1">
      <c r="A5" s="25" t="inlineStr">
        <is>
          <t>Cómputo</t>
        </is>
      </c>
      <c r="B5" s="26" t="inlineStr">
        <is>
          <t>ECS s7n.xlarge.2 × 2</t>
        </is>
      </c>
      <c r="C5" s="21" t="inlineStr">
        <is>
          <t>2 réplicas de la API detrás del balanceador</t>
        </is>
      </c>
      <c r="D5" s="27" t="inlineStr">
        <is>
          <t>US$/hora</t>
        </is>
      </c>
      <c r="E5" s="28" t="n">
        <v>2</v>
      </c>
      <c r="F5" s="28">
        <f>Parametros!$B$6</f>
        <v/>
      </c>
      <c r="G5" s="29" t="n">
        <v>0.096</v>
      </c>
      <c r="H5" s="29" t="n">
        <v>0.125</v>
      </c>
      <c r="I5" s="29" t="n">
        <v>0.15</v>
      </c>
      <c r="J5" s="30">
        <f>$E5*$F5*G5</f>
        <v/>
      </c>
      <c r="K5" s="31">
        <f>$E5*$F5*H5</f>
        <v/>
      </c>
      <c r="L5" s="30">
        <f>$E5*$F5*I5</f>
        <v/>
      </c>
      <c r="M5" s="28" t="inlineStr">
        <is>
          <t>Media</t>
        </is>
      </c>
      <c r="N5" s="21" t="inlineStr">
        <is>
          <t>ADR-003 fase 2: se replica al superar p95 o CPU sostenida. Cada réplica carga su propia copia de bge-m3 (2,3 GB).</t>
        </is>
      </c>
    </row>
    <row r="6" ht="32" customHeight="1">
      <c r="A6" s="25" t="inlineStr">
        <is>
          <t>Cómputo</t>
        </is>
      </c>
      <c r="B6" s="26" t="inlineStr">
        <is>
          <t>Discos de sistema</t>
        </is>
      </c>
      <c r="C6" s="21" t="inlineStr">
        <is>
          <t>EVS SSD 40 GB × 2 nodos</t>
        </is>
      </c>
      <c r="D6" s="27" t="inlineStr">
        <is>
          <t>US$/GB-mes</t>
        </is>
      </c>
      <c r="E6" s="28" t="n">
        <v>80</v>
      </c>
      <c r="F6" s="28" t="n">
        <v>1</v>
      </c>
      <c r="G6" s="29" t="n">
        <v>0.1</v>
      </c>
      <c r="H6" s="29" t="n">
        <v>0.12</v>
      </c>
      <c r="I6" s="29" t="n">
        <v>0.15</v>
      </c>
      <c r="J6" s="30">
        <f>$E6*$F6*G6</f>
        <v/>
      </c>
      <c r="K6" s="31">
        <f>$E6*$F6*H6</f>
        <v/>
      </c>
      <c r="L6" s="30">
        <f>$E6*$F6*I6</f>
        <v/>
      </c>
      <c r="M6" s="28" t="inlineStr">
        <is>
          <t>Media</t>
        </is>
      </c>
      <c r="N6" s="21" t="inlineStr">
        <is>
          <t>Uno por nodo.</t>
        </is>
      </c>
    </row>
    <row r="7" ht="32" customHeight="1">
      <c r="A7" s="25" t="inlineStr">
        <is>
          <t>Cómputo</t>
        </is>
      </c>
      <c r="B7" s="26" t="inlineStr">
        <is>
          <t>ELB — balanceador</t>
        </is>
      </c>
      <c r="C7" s="21" t="inlineStr">
        <is>
          <t>Compartido, 1 listener HTTPS</t>
        </is>
      </c>
      <c r="D7" s="27" t="inlineStr">
        <is>
          <t>US$/hora</t>
        </is>
      </c>
      <c r="E7" s="28" t="n">
        <v>1</v>
      </c>
      <c r="F7" s="28">
        <f>Parametros!$B$6</f>
        <v/>
      </c>
      <c r="G7" s="29" t="n">
        <v>0.02</v>
      </c>
      <c r="H7" s="29" t="n">
        <v>0.03</v>
      </c>
      <c r="I7" s="29" t="n">
        <v>0.045</v>
      </c>
      <c r="J7" s="30">
        <f>$E7*$F7*G7</f>
        <v/>
      </c>
      <c r="K7" s="31">
        <f>$E7*$F7*H7</f>
        <v/>
      </c>
      <c r="L7" s="30">
        <f>$E7*$F7*I7</f>
        <v/>
      </c>
      <c r="M7" s="28" t="inlineStr">
        <is>
          <t>Baja</t>
        </is>
      </c>
      <c r="N7" s="21" t="inlineStr">
        <is>
          <t>Sin balanceador no hay dos nodos. Se factura por hora más unidades de capacidad según tráfico.</t>
        </is>
      </c>
    </row>
    <row r="8" ht="32" customHeight="1">
      <c r="A8" s="25" t="inlineStr">
        <is>
          <t>Base de datos</t>
        </is>
      </c>
      <c r="B8" s="26" t="inlineStr">
        <is>
          <t>RDS PostgreSQL en HA</t>
        </is>
      </c>
      <c r="C8" s="21" t="inlineStr">
        <is>
          <t>4 vCPU/8 GB · primario + en espera</t>
        </is>
      </c>
      <c r="D8" s="27" t="inlineStr">
        <is>
          <t>US$/hora</t>
        </is>
      </c>
      <c r="E8" s="28" t="n">
        <v>1</v>
      </c>
      <c r="F8" s="28">
        <f>Parametros!$B$6</f>
        <v/>
      </c>
      <c r="G8" s="29" t="n">
        <v>0.3</v>
      </c>
      <c r="H8" s="29" t="n">
        <v>0.38</v>
      </c>
      <c r="I8" s="29" t="n">
        <v>0.46</v>
      </c>
      <c r="J8" s="30">
        <f>$E8*$F8*G8</f>
        <v/>
      </c>
      <c r="K8" s="31">
        <f>$E8*$F8*H8</f>
        <v/>
      </c>
      <c r="L8" s="30">
        <f>$E8*$F8*I8</f>
        <v/>
      </c>
      <c r="M8" s="28" t="inlineStr">
        <is>
          <t>Baja</t>
        </is>
      </c>
      <c r="N8" s="21" t="inlineStr">
        <is>
          <t>DUPLICA el precio del nodo único y sube de flavor. Es la línea más cara del escenario y la primera a discutir.</t>
        </is>
      </c>
    </row>
    <row r="9" ht="32" customHeight="1">
      <c r="A9" s="25" t="inlineStr">
        <is>
          <t>Base de datos</t>
        </is>
      </c>
      <c r="B9" s="26" t="inlineStr">
        <is>
          <t>Almacenamiento RDS</t>
        </is>
      </c>
      <c r="C9" s="21" t="inlineStr">
        <is>
          <t>SSD 100 GB</t>
        </is>
      </c>
      <c r="D9" s="27" t="inlineStr">
        <is>
          <t>US$/GB-mes</t>
        </is>
      </c>
      <c r="E9" s="28" t="n">
        <v>100</v>
      </c>
      <c r="F9" s="28" t="n">
        <v>1</v>
      </c>
      <c r="G9" s="29" t="n">
        <v>0.15</v>
      </c>
      <c r="H9" s="29" t="n">
        <v>0.18</v>
      </c>
      <c r="I9" s="29" t="n">
        <v>0.22</v>
      </c>
      <c r="J9" s="30">
        <f>$E9*$F9*G9</f>
        <v/>
      </c>
      <c r="K9" s="31">
        <f>$E9*$F9*H9</f>
        <v/>
      </c>
      <c r="L9" s="30">
        <f>$E9*$F9*I9</f>
        <v/>
      </c>
      <c r="M9" s="28" t="inlineStr">
        <is>
          <t>Media</t>
        </is>
      </c>
      <c r="N9" s="21" t="inlineStr">
        <is>
          <t>Crece con el histórico de ejecuciones y el cache de respuestas.</t>
        </is>
      </c>
    </row>
    <row r="10" ht="32" customHeight="1">
      <c r="A10" s="25" t="inlineStr">
        <is>
          <t>Base de datos</t>
        </is>
      </c>
      <c r="B10" s="26" t="inlineStr">
        <is>
          <t>Réplica de lectura (opcional)</t>
        </is>
      </c>
      <c r="C10" s="21" t="inlineStr">
        <is>
          <t>4 vCPU/8 GB · solo lecturas del panel</t>
        </is>
      </c>
      <c r="D10" s="27" t="inlineStr">
        <is>
          <t>US$/hora</t>
        </is>
      </c>
      <c r="E10" s="28" t="n">
        <v>0</v>
      </c>
      <c r="F10" s="28">
        <f>Parametros!$B$6</f>
        <v/>
      </c>
      <c r="G10" s="29" t="n">
        <v>0.15</v>
      </c>
      <c r="H10" s="29" t="n">
        <v>0.19</v>
      </c>
      <c r="I10" s="29" t="n">
        <v>0.23</v>
      </c>
      <c r="J10" s="30">
        <f>$E10*$F10*G10</f>
        <v/>
      </c>
      <c r="K10" s="31">
        <f>$E10*$F10*H10</f>
        <v/>
      </c>
      <c r="L10" s="30">
        <f>$E10*$F10*I10</f>
        <v/>
      </c>
      <c r="M10" s="28" t="inlineStr">
        <is>
          <t>Baja</t>
        </is>
      </c>
      <c r="N10" s="21" t="inlineStr">
        <is>
          <t>Cantidad en 0: el ADR no la pide en fase 2. Poner 1 si el panel del CITE penaliza la escritura.</t>
        </is>
      </c>
    </row>
    <row r="11" ht="32" customHeight="1">
      <c r="A11" s="25" t="inlineStr">
        <is>
          <t>Almacenamiento</t>
        </is>
      </c>
      <c r="B11" s="26" t="inlineStr">
        <is>
          <t>OBS Standard</t>
        </is>
      </c>
      <c r="C11" s="21" t="inlineStr">
        <is>
          <t>Fuente de verdad: snapshots, informes, corpus (~100 GB)</t>
        </is>
      </c>
      <c r="D11" s="27" t="inlineStr">
        <is>
          <t>US$/GB-mes</t>
        </is>
      </c>
      <c r="E11" s="28" t="n">
        <v>100</v>
      </c>
      <c r="F11" s="28" t="n">
        <v>1</v>
      </c>
      <c r="G11" s="29" t="n">
        <v>0.019</v>
      </c>
      <c r="H11" s="29" t="n">
        <v>0.024</v>
      </c>
      <c r="I11" s="29" t="n">
        <v>0.03</v>
      </c>
      <c r="J11" s="30">
        <f>$E11*$F11*G11</f>
        <v/>
      </c>
      <c r="K11" s="31">
        <f>$E11*$F11*H11</f>
        <v/>
      </c>
      <c r="L11" s="30">
        <f>$E11*$F11*I11</f>
        <v/>
      </c>
      <c r="M11" s="28" t="inlineStr">
        <is>
          <t>Media</t>
        </is>
      </c>
      <c r="N11" s="21" t="inlineStr">
        <is>
          <t>En fase 2 el OBS pasa a ser la fuente de verdad y el disco local es cache.</t>
        </is>
      </c>
    </row>
    <row r="12" ht="32" customHeight="1">
      <c r="A12" s="25" t="inlineStr">
        <is>
          <t>Almacenamiento</t>
        </is>
      </c>
      <c r="B12" s="26" t="inlineStr">
        <is>
          <t>OBS peticiones y salida</t>
        </is>
      </c>
      <c r="C12" s="21" t="inlineStr">
        <is>
          <t>Pull de snapshots por nodo + descargas de informes</t>
        </is>
      </c>
      <c r="D12" s="27" t="inlineStr">
        <is>
          <t>US$/mes</t>
        </is>
      </c>
      <c r="E12" s="28" t="n">
        <v>1</v>
      </c>
      <c r="F12" s="28" t="n">
        <v>1</v>
      </c>
      <c r="G12" s="29" t="n">
        <v>3</v>
      </c>
      <c r="H12" s="29" t="n">
        <v>5</v>
      </c>
      <c r="I12" s="29" t="n">
        <v>10</v>
      </c>
      <c r="J12" s="30">
        <f>$E12*$F12*G12</f>
        <v/>
      </c>
      <c r="K12" s="31">
        <f>$E12*$F12*H12</f>
        <v/>
      </c>
      <c r="L12" s="30">
        <f>$E12*$F12*I12</f>
        <v/>
      </c>
      <c r="M12" s="28" t="inlineStr">
        <is>
          <t>Baja</t>
        </is>
      </c>
      <c r="N12" s="21" t="inlineStr">
        <is>
          <t>Cada nodo descarga el snapshot al arrancar.</t>
        </is>
      </c>
    </row>
    <row r="13" ht="32" customHeight="1">
      <c r="A13" s="25" t="inlineStr">
        <is>
          <t>Almacenamiento</t>
        </is>
      </c>
      <c r="B13" s="26" t="inlineStr">
        <is>
          <t>CBR — respaldo</t>
        </is>
      </c>
      <c r="C13" s="21" t="inlineStr">
        <is>
          <t>Bóveda de 200 GB</t>
        </is>
      </c>
      <c r="D13" s="27" t="inlineStr">
        <is>
          <t>US$/GB-mes</t>
        </is>
      </c>
      <c r="E13" s="28" t="n">
        <v>200</v>
      </c>
      <c r="F13" s="28" t="n">
        <v>1</v>
      </c>
      <c r="G13" s="29" t="n">
        <v>0.05</v>
      </c>
      <c r="H13" s="29" t="n">
        <v>0.06</v>
      </c>
      <c r="I13" s="29" t="n">
        <v>0.08</v>
      </c>
      <c r="J13" s="30">
        <f>$E13*$F13*G13</f>
        <v/>
      </c>
      <c r="K13" s="31">
        <f>$E13*$F13*H13</f>
        <v/>
      </c>
      <c r="L13" s="30">
        <f>$E13*$F13*I13</f>
        <v/>
      </c>
      <c r="M13" s="28" t="inlineStr">
        <is>
          <t>Media</t>
        </is>
      </c>
      <c r="N13" s="21" t="inlineStr">
        <is>
          <t>Dos nodos y más datos.</t>
        </is>
      </c>
    </row>
    <row r="14" ht="32" customHeight="1">
      <c r="A14" s="25" t="inlineStr">
        <is>
          <t>Red</t>
        </is>
      </c>
      <c r="B14" s="26" t="inlineStr">
        <is>
          <t>EIP del balanceador</t>
        </is>
      </c>
      <c r="C14" s="21" t="inlineStr">
        <is>
          <t>1 IP elástica</t>
        </is>
      </c>
      <c r="D14" s="27" t="inlineStr">
        <is>
          <t>US$/hora</t>
        </is>
      </c>
      <c r="E14" s="28" t="n">
        <v>1</v>
      </c>
      <c r="F14" s="28">
        <f>Parametros!$B$6</f>
        <v/>
      </c>
      <c r="G14" s="29" t="n">
        <v>0.005</v>
      </c>
      <c r="H14" s="29" t="n">
        <v>0.007</v>
      </c>
      <c r="I14" s="29" t="n">
        <v>0.01</v>
      </c>
      <c r="J14" s="30">
        <f>$E14*$F14*G14</f>
        <v/>
      </c>
      <c r="K14" s="31">
        <f>$E14*$F14*H14</f>
        <v/>
      </c>
      <c r="L14" s="30">
        <f>$E14*$F14*I14</f>
        <v/>
      </c>
      <c r="M14" s="28" t="inlineStr">
        <is>
          <t>Media</t>
        </is>
      </c>
      <c r="N14" s="21" t="inlineStr">
        <is>
          <t>Los nodos dejan de tener IP pública propia.</t>
        </is>
      </c>
    </row>
    <row r="15" ht="32" customHeight="1">
      <c r="A15" s="25" t="inlineStr">
        <is>
          <t>Red</t>
        </is>
      </c>
      <c r="B15" s="26" t="inlineStr">
        <is>
          <t>Tráfico saliente</t>
        </is>
      </c>
      <c r="C15" s="21" t="inlineStr">
        <is>
          <t>200 GB/mes con usuarios reales</t>
        </is>
      </c>
      <c r="D15" s="27" t="inlineStr">
        <is>
          <t>US$/GB</t>
        </is>
      </c>
      <c r="E15" s="28" t="n">
        <v>1</v>
      </c>
      <c r="F15" s="28" t="n">
        <v>200</v>
      </c>
      <c r="G15" s="29" t="n">
        <v>0.08</v>
      </c>
      <c r="H15" s="29" t="n">
        <v>0.09</v>
      </c>
      <c r="I15" s="29" t="n">
        <v>0.12</v>
      </c>
      <c r="J15" s="30">
        <f>$E15*$F15*G15</f>
        <v/>
      </c>
      <c r="K15" s="31">
        <f>$E15*$F15*H15</f>
        <v/>
      </c>
      <c r="L15" s="30">
        <f>$E15*$F15*I15</f>
        <v/>
      </c>
      <c r="M15" s="28" t="inlineStr">
        <is>
          <t>Baja</t>
        </is>
      </c>
      <c r="N15" s="21" t="inlineStr">
        <is>
          <t>Estimación: ~7× el tráfico de piloto. Medir un mes real antes de firmar.</t>
        </is>
      </c>
    </row>
    <row r="16" ht="32" customHeight="1">
      <c r="A16" s="25" t="inlineStr">
        <is>
          <t>Red</t>
        </is>
      </c>
      <c r="B16" s="26" t="inlineStr">
        <is>
          <t>NAT Gateway</t>
        </is>
      </c>
      <c r="C16" s="21" t="inlineStr">
        <is>
          <t>Salida con IP fija para el agente web</t>
        </is>
      </c>
      <c r="D16" s="27" t="inlineStr">
        <is>
          <t>US$/hora</t>
        </is>
      </c>
      <c r="E16" s="28" t="n">
        <v>1</v>
      </c>
      <c r="F16" s="28">
        <f>Parametros!$B$6</f>
        <v/>
      </c>
      <c r="G16" s="29" t="n">
        <v>0.035</v>
      </c>
      <c r="H16" s="29" t="n">
        <v>0.05</v>
      </c>
      <c r="I16" s="29" t="n">
        <v>0.07000000000000001</v>
      </c>
      <c r="J16" s="30">
        <f>$E16*$F16*G16</f>
        <v/>
      </c>
      <c r="K16" s="31">
        <f>$E16*$F16*H16</f>
        <v/>
      </c>
      <c r="L16" s="30">
        <f>$E16*$F16*I16</f>
        <v/>
      </c>
      <c r="M16" s="28" t="inlineStr">
        <is>
          <t>Baja</t>
        </is>
      </c>
      <c r="N16" s="21" t="inlineStr">
        <is>
          <t>Lo exige el agente de la fase F4: identificarse ante los sitios y respetar rate-limits pide IP fija.</t>
        </is>
      </c>
    </row>
    <row r="17" ht="32" customHeight="1">
      <c r="A17" s="25" t="inlineStr">
        <is>
          <t>Red</t>
        </is>
      </c>
      <c r="B17" s="26" t="inlineStr">
        <is>
          <t>CDN</t>
        </is>
      </c>
      <c r="C17" s="21" t="inlineStr">
        <is>
          <t>SPA y estáticos, ~100 GB/mes</t>
        </is>
      </c>
      <c r="D17" s="27" t="inlineStr">
        <is>
          <t>US$/GB</t>
        </is>
      </c>
      <c r="E17" s="28" t="n">
        <v>1</v>
      </c>
      <c r="F17" s="28" t="n">
        <v>100</v>
      </c>
      <c r="G17" s="29" t="n">
        <v>0.06</v>
      </c>
      <c r="H17" s="29" t="n">
        <v>0.08</v>
      </c>
      <c r="I17" s="29" t="n">
        <v>0.11</v>
      </c>
      <c r="J17" s="30">
        <f>$E17*$F17*G17</f>
        <v/>
      </c>
      <c r="K17" s="31">
        <f>$E17*$F17*H17</f>
        <v/>
      </c>
      <c r="L17" s="30">
        <f>$E17*$F17*I17</f>
        <v/>
      </c>
      <c r="M17" s="28" t="inlineStr">
        <is>
          <t>Baja</t>
        </is>
      </c>
      <c r="N17" s="21" t="inlineStr">
        <is>
          <t>Con usuarios repartidos deja de tener sentido servir la SPA desde el ECS.</t>
        </is>
      </c>
    </row>
    <row r="18" ht="32" customHeight="1">
      <c r="A18" s="25" t="inlineStr">
        <is>
          <t>Red</t>
        </is>
      </c>
      <c r="B18" s="26" t="inlineStr">
        <is>
          <t>WAF</t>
        </is>
      </c>
      <c r="C18" s="21" t="inlineStr">
        <is>
          <t>Modo nube, edición estándar</t>
        </is>
      </c>
      <c r="D18" s="27" t="inlineStr">
        <is>
          <t>US$/mes</t>
        </is>
      </c>
      <c r="E18" s="28" t="n">
        <v>1</v>
      </c>
      <c r="F18" s="28" t="n">
        <v>1</v>
      </c>
      <c r="G18" s="29" t="n">
        <v>30</v>
      </c>
      <c r="H18" s="29" t="n">
        <v>45</v>
      </c>
      <c r="I18" s="29" t="n">
        <v>70</v>
      </c>
      <c r="J18" s="30">
        <f>$E18*$F18*G18</f>
        <v/>
      </c>
      <c r="K18" s="31">
        <f>$E18*$F18*H18</f>
        <v/>
      </c>
      <c r="L18" s="30">
        <f>$E18*$F18*I18</f>
        <v/>
      </c>
      <c r="M18" s="28" t="inlineStr">
        <is>
          <t>Baja</t>
        </is>
      </c>
      <c r="N18" s="21" t="inlineStr">
        <is>
          <t>Un servicio institucional expuesto a internet con datos de terceros. Recortable si el CITE acepta el riesgo.</t>
        </is>
      </c>
    </row>
    <row r="19" ht="32" customHeight="1">
      <c r="A19" s="25" t="inlineStr">
        <is>
          <t>Operación</t>
        </is>
      </c>
      <c r="B19" s="26" t="inlineStr">
        <is>
          <t>LTS — logs</t>
        </is>
      </c>
      <c r="C19" s="21" t="inlineStr">
        <is>
          <t>~10 GB/mes de 2 nodos</t>
        </is>
      </c>
      <c r="D19" s="27" t="inlineStr">
        <is>
          <t>US$/GB</t>
        </is>
      </c>
      <c r="E19" s="28" t="n">
        <v>1</v>
      </c>
      <c r="F19" s="28" t="n">
        <v>10</v>
      </c>
      <c r="G19" s="29" t="n">
        <v>0.3</v>
      </c>
      <c r="H19" s="29" t="n">
        <v>0.4</v>
      </c>
      <c r="I19" s="29" t="n">
        <v>0.5</v>
      </c>
      <c r="J19" s="30">
        <f>$E19*$F19*G19</f>
        <v/>
      </c>
      <c r="K19" s="31">
        <f>$E19*$F19*H19</f>
        <v/>
      </c>
      <c r="L19" s="30">
        <f>$E19*$F19*I19</f>
        <v/>
      </c>
      <c r="M19" s="28" t="inlineStr">
        <is>
          <t>Baja</t>
        </is>
      </c>
      <c r="N19" s="21" t="inlineStr">
        <is>
          <t>Más nodos y más tráfico.</t>
        </is>
      </c>
    </row>
    <row r="20" ht="32" customHeight="1">
      <c r="A20" s="25" t="inlineStr">
        <is>
          <t>Operación</t>
        </is>
      </c>
      <c r="B20" s="26" t="inlineStr">
        <is>
          <t>CES + SMN</t>
        </is>
      </c>
      <c r="C20" s="21" t="inlineStr">
        <is>
          <t>Alarmas y notificación</t>
        </is>
      </c>
      <c r="D20" s="27" t="inlineStr">
        <is>
          <t>US$/mes</t>
        </is>
      </c>
      <c r="E20" s="28" t="n">
        <v>1</v>
      </c>
      <c r="F20" s="28" t="n">
        <v>1</v>
      </c>
      <c r="G20" s="29" t="n">
        <v>1</v>
      </c>
      <c r="H20" s="29" t="n">
        <v>2</v>
      </c>
      <c r="I20" s="29" t="n">
        <v>4</v>
      </c>
      <c r="J20" s="30">
        <f>$E20*$F20*G20</f>
        <v/>
      </c>
      <c r="K20" s="31">
        <f>$E20*$F20*H20</f>
        <v/>
      </c>
      <c r="L20" s="30">
        <f>$E20*$F20*I20</f>
        <v/>
      </c>
      <c r="M20" s="28" t="inlineStr">
        <is>
          <t>Media</t>
        </is>
      </c>
      <c r="N20" s="21" t="inlineStr">
        <is>
          <t>Más métricas y más destinatarios.</t>
        </is>
      </c>
    </row>
    <row r="21" ht="32" customHeight="1">
      <c r="A21" s="25" t="inlineStr">
        <is>
          <t>Operación</t>
        </is>
      </c>
      <c r="B21" s="26" t="inlineStr">
        <is>
          <t>DNS</t>
        </is>
      </c>
      <c r="C21" s="21" t="inlineStr">
        <is>
          <t>1 zona pública</t>
        </is>
      </c>
      <c r="D21" s="27" t="inlineStr">
        <is>
          <t>US$/mes</t>
        </is>
      </c>
      <c r="E21" s="28" t="n">
        <v>1</v>
      </c>
      <c r="F21" s="28" t="n">
        <v>1</v>
      </c>
      <c r="G21" s="29" t="n">
        <v>0.5</v>
      </c>
      <c r="H21" s="29" t="n">
        <v>0.5</v>
      </c>
      <c r="I21" s="29" t="n">
        <v>0.5</v>
      </c>
      <c r="J21" s="30">
        <f>$E21*$F21*G21</f>
        <v/>
      </c>
      <c r="K21" s="31">
        <f>$E21*$F21*H21</f>
        <v/>
      </c>
      <c r="L21" s="30">
        <f>$E21*$F21*I21</f>
        <v/>
      </c>
      <c r="M21" s="28" t="inlineStr">
        <is>
          <t>Media</t>
        </is>
      </c>
      <c r="N21" s="21" t="inlineStr">
        <is>
          <t>Igual que en el MVP.</t>
        </is>
      </c>
    </row>
    <row r="22" ht="32" customHeight="1">
      <c r="A22" s="25" t="inlineStr">
        <is>
          <t>Operación</t>
        </is>
      </c>
      <c r="B22" s="26" t="inlineStr">
        <is>
          <t>Soporte de pago (opcional)</t>
        </is>
      </c>
      <c r="C22" s="21" t="inlineStr">
        <is>
          <t>Plan Business</t>
        </is>
      </c>
      <c r="D22" s="27" t="inlineStr">
        <is>
          <t>US$/mes</t>
        </is>
      </c>
      <c r="E22" s="28" t="n">
        <v>0</v>
      </c>
      <c r="F22" s="28" t="n">
        <v>1</v>
      </c>
      <c r="G22" s="29" t="n">
        <v>100</v>
      </c>
      <c r="H22" s="29" t="n">
        <v>150</v>
      </c>
      <c r="I22" s="29" t="n">
        <v>200</v>
      </c>
      <c r="J22" s="30">
        <f>$E22*$F22*G22</f>
        <v/>
      </c>
      <c r="K22" s="31">
        <f>$E22*$F22*H22</f>
        <v/>
      </c>
      <c r="L22" s="30">
        <f>$E22*$F22*I22</f>
        <v/>
      </c>
      <c r="M22" s="28" t="inlineStr">
        <is>
          <t>Baja</t>
        </is>
      </c>
      <c r="N22" s="21" t="inlineStr">
        <is>
          <t>Cantidad en 0: el plan Basic es gratuito. Un servicio institucional con SLA suele necesitar más.</t>
        </is>
      </c>
    </row>
    <row r="24">
      <c r="B24" s="14" t="inlineStr">
        <is>
          <t>SUBTOTALES POR CATEGORÍA</t>
        </is>
      </c>
    </row>
    <row r="25">
      <c r="B25" s="14" t="inlineStr">
        <is>
          <t>Cómputo</t>
        </is>
      </c>
      <c r="J25" s="9">
        <f>SUMIF($A$5:$A$22,$B25,J$5:J$22)</f>
        <v/>
      </c>
      <c r="K25" s="9">
        <f>SUMIF($A$5:$A$22,$B25,K$5:K$22)</f>
        <v/>
      </c>
      <c r="L25" s="9">
        <f>SUMIF($A$5:$A$22,$B25,L$5:L$22)</f>
        <v/>
      </c>
    </row>
    <row r="26">
      <c r="B26" s="14" t="inlineStr">
        <is>
          <t>Base de datos</t>
        </is>
      </c>
      <c r="J26" s="9">
        <f>SUMIF($A$5:$A$22,$B26,J$5:J$22)</f>
        <v/>
      </c>
      <c r="K26" s="9">
        <f>SUMIF($A$5:$A$22,$B26,K$5:K$22)</f>
        <v/>
      </c>
      <c r="L26" s="9">
        <f>SUMIF($A$5:$A$22,$B26,L$5:L$22)</f>
        <v/>
      </c>
    </row>
    <row r="27">
      <c r="B27" s="14" t="inlineStr">
        <is>
          <t>Almacenamiento</t>
        </is>
      </c>
      <c r="J27" s="9">
        <f>SUMIF($A$5:$A$22,$B27,J$5:J$22)</f>
        <v/>
      </c>
      <c r="K27" s="9">
        <f>SUMIF($A$5:$A$22,$B27,K$5:K$22)</f>
        <v/>
      </c>
      <c r="L27" s="9">
        <f>SUMIF($A$5:$A$22,$B27,L$5:L$22)</f>
        <v/>
      </c>
    </row>
    <row r="28">
      <c r="B28" s="14" t="inlineStr">
        <is>
          <t>Red</t>
        </is>
      </c>
      <c r="J28" s="9">
        <f>SUMIF($A$5:$A$22,$B28,J$5:J$22)</f>
        <v/>
      </c>
      <c r="K28" s="9">
        <f>SUMIF($A$5:$A$22,$B28,K$5:K$22)</f>
        <v/>
      </c>
      <c r="L28" s="9">
        <f>SUMIF($A$5:$A$22,$B28,L$5:L$22)</f>
        <v/>
      </c>
    </row>
    <row r="29">
      <c r="B29" s="14" t="inlineStr">
        <is>
          <t>Operación</t>
        </is>
      </c>
      <c r="J29" s="9">
        <f>SUMIF($A$5:$A$22,$B29,J$5:J$22)</f>
        <v/>
      </c>
      <c r="K29" s="9">
        <f>SUMIF($A$5:$A$22,$B29,K$5:K$22)</f>
        <v/>
      </c>
      <c r="L29" s="9">
        <f>SUMIF($A$5:$A$22,$B29,L$5:L$22)</f>
        <v/>
      </c>
    </row>
    <row r="31">
      <c r="B31" s="18" t="inlineStr">
        <is>
          <t>TOTAL INFRAESTRUCTURA PRODUCCIÓN (mes)</t>
        </is>
      </c>
      <c r="J31" s="32">
        <f>SUM(J25:J29)</f>
        <v/>
      </c>
      <c r="K31" s="32">
        <f>SUM(K25:K29)</f>
        <v/>
      </c>
      <c r="L31" s="32">
        <f>SUM(L25:L29)</f>
        <v/>
      </c>
    </row>
    <row r="33">
      <c r="B33" s="18" t="inlineStr">
        <is>
          <t>PALANCAS DE RECORTE — qué se ahorra y qué se pierde</t>
        </is>
      </c>
    </row>
    <row r="34" ht="30" customHeight="1">
      <c r="A34" s="3" t="inlineStr"/>
      <c r="B34" s="3" t="inlineStr">
        <is>
          <t>Palanca</t>
        </is>
      </c>
      <c r="C34" s="3" t="inlineStr">
        <is>
          <t>Ahorro mensual</t>
        </is>
      </c>
      <c r="D34" s="3" t="inlineStr"/>
      <c r="E34" s="3" t="inlineStr"/>
      <c r="F34" s="3" t="inlineStr"/>
      <c r="G34" s="3" t="inlineStr"/>
      <c r="H34" s="3" t="inlineStr"/>
      <c r="I34" s="3" t="inlineStr"/>
      <c r="J34" s="3" t="inlineStr"/>
      <c r="K34" s="3" t="inlineStr"/>
      <c r="L34" s="3" t="inlineStr"/>
      <c r="M34" s="3" t="inlineStr"/>
      <c r="N34" s="3" t="inlineStr">
        <is>
          <t>Qué se pierde</t>
        </is>
      </c>
    </row>
    <row r="35" ht="28" customHeight="1">
      <c r="B35" s="4" t="inlineStr">
        <is>
          <t>RDS sin alta disponibilidad</t>
        </is>
      </c>
      <c r="C35" s="6">
        <f>-Produccion!$K$8/2</f>
        <v/>
      </c>
      <c r="N35" s="7" t="inlineStr">
        <is>
          <t>Vuelve al nodo único: una caída de la base es una restauración manual, no una conmutación.</t>
        </is>
      </c>
    </row>
    <row r="36" ht="28" customHeight="1">
      <c r="B36" s="4" t="inlineStr">
        <is>
          <t>Sin WAF</t>
        </is>
      </c>
      <c r="C36" s="6">
        <f>-Produccion!$K$18</f>
        <v/>
      </c>
      <c r="N36" s="7" t="inlineStr">
        <is>
          <t>El servicio queda expuesto sin filtro de aplicación. Decisión del CITE, no técnica.</t>
        </is>
      </c>
    </row>
    <row r="37" ht="28" customHeight="1">
      <c r="B37" s="4" t="inlineStr">
        <is>
          <t>Sin NAT Gateway</t>
        </is>
      </c>
      <c r="C37" s="6">
        <f>-Produccion!$K$16</f>
        <v/>
      </c>
      <c r="N37" s="7" t="inlineStr">
        <is>
          <t>El agente web sale sin IP fija: peor ciudadanía ante los sitios y riesgo de bloqueo.</t>
        </is>
      </c>
    </row>
    <row r="38" ht="28" customHeight="1">
      <c r="B38" s="4" t="inlineStr">
        <is>
          <t>Un solo nodo de API (sin ELB)</t>
        </is>
      </c>
      <c r="C38" s="6">
        <f>-Produccion!$K$5/2-Produccion!$K$7</f>
        <v/>
      </c>
      <c r="N38" s="7" t="inlineStr">
        <is>
          <t>Se acaba la alta disponibilidad del cómputo y las ventanas de despliegue sin corte.</t>
        </is>
      </c>
    </row>
    <row r="39" ht="28" customHeight="1">
      <c r="B39" s="4" t="inlineStr">
        <is>
          <t>Sin CDN</t>
        </is>
      </c>
      <c r="C39" s="6">
        <f>-Produccion!$K$17</f>
        <v/>
      </c>
      <c r="N39" s="7" t="inlineStr">
        <is>
          <t>La SPA se sirve desde el ECS. Aceptable si los usuarios están todos en Perú.</t>
        </is>
      </c>
    </row>
  </sheetData>
  <pageMargins left="0.75" right="0.75" top="1" bottom="1" header="0.5" footer="0.5"/>
</worksheet>
</file>

<file path=xl/worksheets/sheet7.xml><?xml version="1.0" encoding="utf-8"?>
<worksheet xmlns="http://schemas.openxmlformats.org/spreadsheetml/2006/main">
  <sheetPr>
    <tabColor rgb="00C55A11"/>
    <outlinePr summaryBelow="1" summaryRight="1"/>
    <pageSetUpPr/>
  </sheetPr>
  <dimension ref="A1:E40"/>
  <sheetViews>
    <sheetView showGridLines="0" workbookViewId="0">
      <selection activeCell="A1" sqref="A1"/>
    </sheetView>
  </sheetViews>
  <sheetFormatPr baseColWidth="8" defaultRowHeight="15"/>
  <cols>
    <col width="44" customWidth="1" min="1" max="1"/>
    <col width="20" customWidth="1" min="2" max="2"/>
    <col width="20" customWidth="1" min="3" max="3"/>
    <col width="22" customWidth="1" min="4" max="4"/>
    <col width="60" customWidth="1" min="5" max="5"/>
  </cols>
  <sheetData>
    <row r="1">
      <c r="A1" s="1" t="inlineStr">
        <is>
          <t>Proyección de usuarios por escenario</t>
        </is>
      </c>
    </row>
    <row r="2">
      <c r="A2" s="2" t="inlineStr">
        <is>
          <t>Cuánta gente sostiene cada escenario, y qué se agota primero: la máquina o el presupuesto</t>
        </is>
      </c>
    </row>
    <row r="4" ht="30" customHeight="1">
      <c r="A4" s="3" t="inlineStr">
        <is>
          <t>Supuesto del modelo</t>
        </is>
      </c>
      <c r="B4" s="3" t="inlineStr">
        <is>
          <t>Valor</t>
        </is>
      </c>
      <c r="C4" s="3" t="inlineStr">
        <is>
          <t>Unidad</t>
        </is>
      </c>
      <c r="D4" s="3" t="inlineStr">
        <is>
          <t>De dónde sale</t>
        </is>
      </c>
    </row>
    <row r="5" ht="30" customHeight="1">
      <c r="A5" s="4" t="inlineStr">
        <is>
          <t>Consultas por usuario activo al mes</t>
        </is>
      </c>
      <c r="B5" s="35" t="n">
        <v>10</v>
      </c>
      <c r="C5" s="4" t="inlineStr">
        <is>
          <t>consultas</t>
        </is>
      </c>
      <c r="D5" s="21" t="inlineStr">
        <is>
          <t>EDITAR. Un analista del CITE evaluando insumos no consulta a diario: 10/mes es un uso real y sostenido.</t>
        </is>
      </c>
    </row>
    <row r="6" ht="30" customHeight="1">
      <c r="A6" s="4" t="inlineStr">
        <is>
          <t>Usuarios activos sobre registrados</t>
        </is>
      </c>
      <c r="B6" s="24" t="n">
        <v>0.5</v>
      </c>
      <c r="C6" s="4" t="inlineStr">
        <is>
          <t>%</t>
        </is>
      </c>
      <c r="D6" s="21" t="inlineStr">
        <is>
          <t>EDITAR. La mitad de las cuentas creadas usa el sistema en un mes dado. En piloto institucional suele ser menos.</t>
        </is>
      </c>
    </row>
    <row r="7" ht="30" customHeight="1">
      <c r="A7" s="4" t="inlineStr">
        <is>
          <t>Usuarios por organización</t>
        </is>
      </c>
      <c r="B7" s="35" t="n">
        <v>3</v>
      </c>
      <c r="C7" s="4" t="inlineStr">
        <is>
          <t>usuarios</t>
        </is>
      </c>
      <c r="D7" s="21" t="inlineStr">
        <is>
          <t>EDITAR. Para traducir usuarios a organizaciones, que es la unidad del ADR-003 y del contrato.</t>
        </is>
      </c>
    </row>
    <row r="8" ht="30" customHeight="1">
      <c r="A8" s="4" t="inlineStr">
        <is>
          <t>Duración media de un run (extremo a extremo)</t>
        </is>
      </c>
      <c r="B8" s="35" t="n">
        <v>25</v>
      </c>
      <c r="C8" s="4" t="inlineStr">
        <is>
          <t>segundos</t>
        </is>
      </c>
      <c r="D8" s="21" t="inlineStr">
        <is>
          <t>Dominada por el LLM: 5 etapas con generación de 3-10 s cada una. La búsqueda vectorial aporta 176 ms.</t>
        </is>
      </c>
    </row>
    <row r="9" ht="30" customHeight="1">
      <c r="A9" s="4" t="inlineStr">
        <is>
          <t>CPU bloqueante por run</t>
        </is>
      </c>
      <c r="B9" s="23" t="n">
        <v>3.5</v>
      </c>
      <c r="C9" s="4" t="inlineStr">
        <is>
          <t>segundos</t>
        </is>
      </c>
      <c r="D9" s="21" t="inlineStr">
        <is>
          <t>Lo único que NO es asíncrono: embedding + búsqueda LanceDB (~0,5 s) y generación del PDF con WeasyPrint (~3 s). ESTIMADO: conviene medirlo con una prueba de carga antes de comprometer capacidad.</t>
        </is>
      </c>
    </row>
    <row r="10" ht="30" customHeight="1">
      <c r="A10" s="4" t="inlineStr">
        <is>
          <t>Utilización objetivo del nodo</t>
        </is>
      </c>
      <c r="B10" s="24" t="n">
        <v>0.3</v>
      </c>
      <c r="C10" s="4" t="inlineStr">
        <is>
          <t>%</t>
        </is>
      </c>
      <c r="D10" s="21" t="inlineStr">
        <is>
          <t>No se planifica al 100 %: por encima del 30 % de ocupación del bucle de eventos la latencia p95 se dispara.</t>
        </is>
      </c>
    </row>
    <row r="11" ht="30" customHeight="1">
      <c r="A11" s="4" t="inlineStr">
        <is>
          <t>Días laborables al mes</t>
        </is>
      </c>
      <c r="B11" s="35" t="n">
        <v>22</v>
      </c>
      <c r="C11" s="4" t="inlineStr">
        <is>
          <t>días</t>
        </is>
      </c>
      <c r="D11" s="21" t="inlineStr">
        <is>
          <t>El CITE consulta en horario de oficina.</t>
        </is>
      </c>
    </row>
    <row r="12" ht="30" customHeight="1">
      <c r="A12" s="4" t="inlineStr">
        <is>
          <t>Carga concentrada en la hora punta</t>
        </is>
      </c>
      <c r="B12" s="24" t="n">
        <v>0.25</v>
      </c>
      <c r="C12" s="4" t="inlineStr">
        <is>
          <t>%</t>
        </is>
      </c>
      <c r="D12" s="21" t="inlineStr">
        <is>
          <t>Un cuarto de la jornada se concentra en una hora. Regla de planificación habitual.</t>
        </is>
      </c>
    </row>
    <row r="13" ht="30" customHeight="1">
      <c r="A13" s="4" t="inlineStr">
        <is>
          <t>Tope global de LLM configurado</t>
        </is>
      </c>
      <c r="B13" s="35" t="n">
        <v>10</v>
      </c>
      <c r="C13" s="4" t="inlineStr">
        <is>
          <t>US$/mes</t>
        </is>
      </c>
      <c r="D13" s="21" t="inlineStr">
        <is>
          <t>PRESUPUESTO_GLOBAL_MES_USD del .env. Es el kill-switch: al superarse nadie ejecuta LLM.</t>
        </is>
      </c>
    </row>
    <row r="15" ht="30" customHeight="1">
      <c r="A15" s="3" t="inlineStr">
        <is>
          <t>Métrica</t>
        </is>
      </c>
      <c r="B15" s="3" t="inlineStr">
        <is>
          <t>A · Demo y ensayos</t>
        </is>
      </c>
      <c r="C15" s="3" t="inlineStr">
        <is>
          <t>B · MVP 24×7</t>
        </is>
      </c>
      <c r="D15" s="3" t="inlineStr">
        <is>
          <t>C · Producción CITE</t>
        </is>
      </c>
      <c r="E15" s="3" t="inlineStr">
        <is>
          <t>Cómo se calcula</t>
        </is>
      </c>
    </row>
    <row r="16" ht="26" customHeight="1">
      <c r="A16" s="4" t="inlineStr">
        <is>
          <t>Runs premium al mes</t>
        </is>
      </c>
      <c r="B16" s="35" t="n">
        <v>20</v>
      </c>
      <c r="C16" s="36">
        <f>Parametros!$B$11</f>
        <v/>
      </c>
      <c r="D16" s="35" t="n">
        <v>500</v>
      </c>
      <c r="E16" s="7" t="inlineStr">
        <is>
          <t>A: ensayos del equipo. B: parámetro. C: fase 2 del ADR-003.</t>
        </is>
      </c>
    </row>
    <row r="17" ht="26" customHeight="1">
      <c r="A17" s="4" t="inlineStr">
        <is>
          <t>Runs gratuitos al mes</t>
        </is>
      </c>
      <c r="B17" s="35" t="n">
        <v>0</v>
      </c>
      <c r="C17" s="36">
        <f>'LLM-MaaS'!$B$8</f>
        <v/>
      </c>
      <c r="D17" s="35" t="n">
        <v>2000</v>
      </c>
      <c r="E17" s="7" t="inlineStr">
        <is>
          <t>El plan gratuito corta en la etapa 3; cuesta ~4× menos por run.</t>
        </is>
      </c>
    </row>
    <row r="18" ht="26" customHeight="1">
      <c r="A18" s="4" t="inlineStr">
        <is>
          <t>Runs totales al mes</t>
        </is>
      </c>
      <c r="B18" s="37">
        <f>B16+B17</f>
        <v/>
      </c>
      <c r="C18" s="37">
        <f>C16+C17</f>
        <v/>
      </c>
      <c r="D18" s="37">
        <f>D16+D17</f>
        <v/>
      </c>
      <c r="E18" s="7" t="inlineStr"/>
    </row>
    <row r="19" ht="26" customHeight="1">
      <c r="A19" s="38" t="inlineStr">
        <is>
          <t>USUARIOS ACTIVOS que sostiene</t>
        </is>
      </c>
      <c r="B19" s="39">
        <f>B18/$B$5</f>
        <v/>
      </c>
      <c r="C19" s="39">
        <f>C18/$B$5</f>
        <v/>
      </c>
      <c r="D19" s="39">
        <f>D18/$B$5</f>
        <v/>
      </c>
      <c r="E19" s="7" t="inlineStr">
        <is>
          <t>Runs totales ÷ consultas por usuario activo.</t>
        </is>
      </c>
    </row>
    <row r="20" ht="26" customHeight="1">
      <c r="A20" s="4" t="inlineStr">
        <is>
          <t>Usuarios registrados equivalentes</t>
        </is>
      </c>
      <c r="B20" s="40">
        <f>B19/$B$6</f>
        <v/>
      </c>
      <c r="C20" s="40">
        <f>C19/$B$6</f>
        <v/>
      </c>
      <c r="D20" s="40">
        <f>D19/$B$6</f>
        <v/>
      </c>
      <c r="E20" s="7" t="inlineStr">
        <is>
          <t>Activos ÷ tasa de actividad.</t>
        </is>
      </c>
    </row>
    <row r="21" ht="26" customHeight="1">
      <c r="A21" s="4" t="inlineStr">
        <is>
          <t>Organizaciones equivalentes</t>
        </is>
      </c>
      <c r="B21" s="40">
        <f>B20/$B$7</f>
        <v/>
      </c>
      <c r="C21" s="40">
        <f>C20/$B$7</f>
        <v/>
      </c>
      <c r="D21" s="40">
        <f>D20/$B$7</f>
        <v/>
      </c>
      <c r="E21" s="7" t="inlineStr">
        <is>
          <t>La unidad del ADR-003 y del contrato multi-cooperativa.</t>
        </is>
      </c>
    </row>
    <row r="22" ht="26" customHeight="1">
      <c r="A22" s="4" t="inlineStr">
        <is>
          <t>Consultas por día laborable</t>
        </is>
      </c>
      <c r="B22" s="37">
        <f>B18/$B$11</f>
        <v/>
      </c>
      <c r="C22" s="37">
        <f>C18/$B$11</f>
        <v/>
      </c>
      <c r="D22" s="37">
        <f>D18/$B$11</f>
        <v/>
      </c>
      <c r="E22" s="7" t="inlineStr"/>
    </row>
    <row r="23" ht="26" customHeight="1">
      <c r="A23" s="4" t="inlineStr">
        <is>
          <t>Consultas en la hora punta</t>
        </is>
      </c>
      <c r="B23" s="37">
        <f>B21*$B$12</f>
        <v/>
      </c>
      <c r="C23" s="37">
        <f>C21*$B$12</f>
        <v/>
      </c>
      <c r="D23" s="37">
        <f>D21*$B$12</f>
        <v/>
      </c>
      <c r="E23" s="7" t="inlineStr"/>
    </row>
    <row r="24" ht="26" customHeight="1">
      <c r="A24" s="4" t="inlineStr">
        <is>
          <t>Runs simultáneos en el pico</t>
        </is>
      </c>
      <c r="B24" s="37">
        <f>B22*$B$8/3600</f>
        <v/>
      </c>
      <c r="C24" s="37">
        <f>C22*$B$8/3600</f>
        <v/>
      </c>
      <c r="D24" s="37">
        <f>D22*$B$8/3600</f>
        <v/>
      </c>
      <c r="E24" s="7" t="inlineStr">
        <is>
          <t>Ley de Little: llegadas × duración. Menos de 1 significa que casi nunca coinciden dos consultas.</t>
        </is>
      </c>
    </row>
    <row r="25" ht="26" customHeight="1">
      <c r="A25" s="4" t="inlineStr">
        <is>
          <t>Coste total mensual</t>
        </is>
      </c>
      <c r="B25" s="41">
        <f>Escenarios!$B$9</f>
        <v/>
      </c>
      <c r="C25" s="41">
        <f>Escenarios!$C$9</f>
        <v/>
      </c>
      <c r="D25" s="41">
        <f>Escenarios!$D$9</f>
        <v/>
      </c>
      <c r="E25" s="7" t="inlineStr">
        <is>
          <t>De la hoja 'Escenarios'.</t>
        </is>
      </c>
    </row>
    <row r="26" ht="26" customHeight="1">
      <c r="A26" s="38" t="inlineStr">
        <is>
          <t>COSTE POR USUARIO ACTIVO / mes</t>
        </is>
      </c>
      <c r="B26" s="42">
        <f>B24/B19</f>
        <v/>
      </c>
      <c r="C26" s="42">
        <f>C24/C19</f>
        <v/>
      </c>
      <c r="D26" s="42">
        <f>D24/D19</f>
        <v/>
      </c>
      <c r="E26" s="7" t="inlineStr">
        <is>
          <t>El número que hay que comparar con el precio de la suscripción premium.</t>
        </is>
      </c>
    </row>
    <row r="27" ht="26" customHeight="1">
      <c r="A27" s="4" t="inlineStr">
        <is>
          <t>Coste por consulta</t>
        </is>
      </c>
      <c r="B27" s="41">
        <f>B24/B18</f>
        <v/>
      </c>
      <c r="C27" s="41">
        <f>C24/C18</f>
        <v/>
      </c>
      <c r="D27" s="41">
        <f>D24/D18</f>
        <v/>
      </c>
      <c r="E27" s="7" t="inlineStr">
        <is>
          <t>Incluye infraestructura, no solo el LLM.</t>
        </is>
      </c>
    </row>
    <row r="29">
      <c r="A29" s="43" t="inlineStr">
        <is>
          <t>¿QUÉ SE AGOTA PRIMERO?</t>
        </is>
      </c>
    </row>
    <row r="30" ht="30" customHeight="1">
      <c r="A30" s="3" t="inlineStr">
        <is>
          <t>Techo</t>
        </is>
      </c>
      <c r="B30" s="3" t="inlineStr">
        <is>
          <t>Usuarios activos</t>
        </is>
      </c>
      <c r="C30" s="3" t="inlineStr"/>
      <c r="D30" s="3" t="inlineStr"/>
      <c r="E30" s="3" t="inlineStr">
        <is>
          <t>Qué lo produce</t>
        </is>
      </c>
    </row>
    <row r="31" ht="40" customHeight="1">
      <c r="A31" s="4" t="inlineStr">
        <is>
          <t>Techo por PRESUPUESTO de LLM (kill-switch actual)</t>
        </is>
      </c>
      <c r="B31" s="44">
        <f>($B$13/'LLM-MaaS'!$B$5)/$B$5</f>
        <v/>
      </c>
      <c r="C31" s="45" t="n"/>
      <c r="D31" s="45" t="n"/>
      <c r="E31" s="7" t="inlineStr">
        <is>
          <t>Con el tope global en US$ 10/mes y US$ 0,21 por run premium, la aplicación deja de llamar al LLM al llegar a ~48 consultas premium. Es una decisión de configuración, no un límite físico.</t>
        </is>
      </c>
    </row>
    <row r="32" ht="40" customHeight="1">
      <c r="A32" s="4" t="inlineStr">
        <is>
          <t>Techo de CÓMPUTO de un nodo</t>
        </is>
      </c>
      <c r="B32" s="44">
        <f>(3600/$B$9*$B$10*8*$B$11)/$B$5</f>
        <v/>
      </c>
      <c r="C32" s="45" t="n"/>
      <c r="D32" s="45" t="n"/>
      <c r="E32" s="7" t="inlineStr">
        <is>
          <t>Con 3,5 s de CPU bloqueante por run al 30 % de ocupación, 8 h/día, 22 días. La RAM no entra: bge-m3 ocupa 2,3 GB fijos, no crece con los usuarios.</t>
        </is>
      </c>
    </row>
    <row r="33" ht="40" customHeight="1">
      <c r="A33" s="4" t="inlineStr">
        <is>
          <t>Techo del POOL de conexiones a la base</t>
        </is>
      </c>
      <c r="B33" s="44">
        <f>5*3600/$B$8/$B$5*8*$B$11</f>
        <v/>
      </c>
      <c r="C33" s="45" t="n"/>
      <c r="D33" s="45" t="n"/>
      <c r="E33" s="7" t="inlineStr">
        <is>
          <t>adaptadores/db.py abre el pool con max_size=5. Cinco operaciones simultáneas de base, no cinco usuarios: cada run las usa unos milisegundos.</t>
        </is>
      </c>
    </row>
    <row r="34">
      <c r="A34" s="46" t="inlineStr">
        <is>
          <t>CUELLO DE BOTELLA REAL (el menor de los tres)</t>
        </is>
      </c>
      <c r="B34" s="47">
        <f>MIN(B31:B33)</f>
        <v/>
      </c>
    </row>
    <row r="36">
      <c r="A36" s="18" t="inlineStr">
        <is>
          <t>Lectura de la proyección</t>
        </is>
      </c>
    </row>
    <row r="37" ht="46" customHeight="1">
      <c r="A37" s="19" t="inlineStr">
        <is>
          <t>1. La máquina no es el límite: nunca. Un solo nodo de 4 vCPU sostiene del orden de MILES de usuarios activos, porque un run pasa 25 s esperando al LLM y solo ~3,5 s ocupando CPU. Los dos nodos y el balanceador del escenario C se pagan por DISPONIBILIDAD, no por capacidad: si uno se cae, el servicio sigue.</t>
        </is>
      </c>
    </row>
    <row r="38" ht="46" customHeight="1">
      <c r="A38" s="19" t="inlineStr">
        <is>
          <t>2. El límite real es el dinero del LLM, y hoy está puesto muy bajo. Con el kill-switch en US$ 10/mes, el sistema atiende ~5 usuarios activos antes de degradar a 'sin dato'. Para el CDR es correcto; para un piloto con el CITE hay que subirlo a conciencia y decir cuánto cuesta cada tramo.</t>
        </is>
      </c>
    </row>
    <row r="39" ht="46" customHeight="1">
      <c r="A39" s="19" t="inlineStr">
        <is>
          <t>3. El coste por usuario baja rápido con la escala: el grueso de la factura es fijo (ECS, RDS, EIP) y solo el LLM crece con el uso. Es el argumento económico del paywall: la cuota por plan es lo que impide que un usuario intensivo se coma el margen.</t>
        </is>
      </c>
    </row>
    <row r="40" ht="46" customHeight="1">
      <c r="A40" s="19" t="inlineStr">
        <is>
          <t>4. Lo que hay que medir antes de firmar capacidad: los 3,5 s de CPU bloqueante por run son una ESTIMACIÓN. La generación del PDF es síncrona y bloquea el bucle de eventos; si resulta ser el doble, el techo de cómputo se parte por dos (y seguiría estando muy por encima de la demanda).</t>
        </is>
      </c>
    </row>
  </sheetData>
  <mergeCells count="4">
    <mergeCell ref="A39:E39"/>
    <mergeCell ref="A40:E40"/>
    <mergeCell ref="A37:E37"/>
    <mergeCell ref="A38:E38"/>
  </mergeCells>
  <pageMargins left="0.75" right="0.75" top="1" bottom="1" header="0.5" footer="0.5"/>
</worksheet>
</file>

<file path=xl/worksheets/sheet8.xml><?xml version="1.0" encoding="utf-8"?>
<worksheet xmlns="http://schemas.openxmlformats.org/spreadsheetml/2006/main">
  <sheetPr>
    <tabColor rgb="00375623"/>
    <outlinePr summaryBelow="1" summaryRight="1"/>
    <pageSetUpPr/>
  </sheetPr>
  <dimension ref="A1:G46"/>
  <sheetViews>
    <sheetView showGridLines="0" workbookViewId="0">
      <selection activeCell="A1" sqref="A1"/>
    </sheetView>
  </sheetViews>
  <sheetFormatPr baseColWidth="8" defaultRowHeight="15"/>
  <cols>
    <col width="8" customWidth="1" min="1" max="1"/>
    <col width="15" customWidth="1" min="2" max="2"/>
    <col width="15" customWidth="1" min="3" max="3"/>
    <col width="15" customWidth="1" min="4" max="4"/>
    <col width="15" customWidth="1" min="5" max="5"/>
    <col width="26" customWidth="1" min="6" max="6"/>
    <col width="26" customWidth="1" min="7" max="7"/>
  </cols>
  <sheetData>
    <row r="1">
      <c r="A1" s="1" t="inlineStr">
        <is>
          <t>Crecimiento de datos a 12 meses</t>
        </is>
      </c>
    </row>
    <row r="2">
      <c r="A2" s="2" t="inlineStr">
        <is>
          <t>Huella por consulta MEDIDA sobre las tablas de auditoría del proyecto, no estimada</t>
        </is>
      </c>
    </row>
    <row r="4" ht="30" customHeight="1">
      <c r="A4" s="3" t="inlineStr">
        <is>
          <t>Huella por consulta</t>
        </is>
      </c>
      <c r="B4" s="3" t="inlineStr">
        <is>
          <t>KB</t>
        </is>
      </c>
      <c r="C4" s="3" t="inlineStr">
        <is>
          <t>Origen del dato</t>
        </is>
      </c>
    </row>
    <row r="5" ht="28" customHeight="1">
      <c r="A5" s="4" t="inlineStr">
        <is>
          <t>Etapa 1 · InterpretarInsumo</t>
        </is>
      </c>
      <c r="B5" s="48" t="n">
        <v>0.4</v>
      </c>
      <c r="C5" s="21" t="inlineStr">
        <is>
          <t>MEDIDO: 50 filas reales en etapas_ejecucion. entrada+salida en JSON.</t>
        </is>
      </c>
    </row>
    <row r="6" ht="28" customHeight="1">
      <c r="A6" s="4" t="inlineStr">
        <is>
          <t>Etapa 2 · MatchProductos</t>
        </is>
      </c>
      <c r="B6" s="48" t="n">
        <v>15.7</v>
      </c>
      <c r="C6" s="21" t="inlineStr">
        <is>
          <t>MEDIDO: 26 filas. Guarda los 30 productos con sus ingredientes.</t>
        </is>
      </c>
    </row>
    <row r="7" ht="28" customHeight="1">
      <c r="A7" s="4" t="inlineStr">
        <is>
          <t>Etapa 2b · MapaComercial</t>
        </is>
      </c>
      <c r="B7" s="48" t="n">
        <v>59.3</v>
      </c>
      <c r="C7" s="21" t="inlineStr">
        <is>
          <t>MEDIDO: 10 filas. Es la etapa más pesada, 5× cualquier otra: su salida_json lleva el mapa comercial completo. Máximo observado 74 KB.</t>
        </is>
      </c>
    </row>
    <row r="8" ht="28" customHeight="1">
      <c r="A8" s="4" t="inlineStr">
        <is>
          <t>Etapa 3 · InsightMercado</t>
        </is>
      </c>
      <c r="B8" s="48" t="n">
        <v>11.8</v>
      </c>
      <c r="C8" s="21" t="inlineStr">
        <is>
          <t>MEDIDO: 50 filas.</t>
        </is>
      </c>
    </row>
    <row r="9" ht="28" customHeight="1">
      <c r="A9" s="4" t="inlineStr">
        <is>
          <t>Etapa 4 · Formulación (premium)</t>
        </is>
      </c>
      <c r="B9" s="23" t="n">
        <v>15</v>
      </c>
      <c r="C9" s="21" t="inlineStr">
        <is>
          <t>ESTIMADO: aún no hay filas históricas de la etapa separada en S3.</t>
        </is>
      </c>
    </row>
    <row r="10" ht="28" customHeight="1">
      <c r="A10" s="4" t="inlineStr">
        <is>
          <t>Etapa 5 · Regulación (premium)</t>
        </is>
      </c>
      <c r="B10" s="23" t="n">
        <v>20</v>
      </c>
      <c r="C10" s="21" t="inlineStr">
        <is>
          <t>ESTIMADO: incluye el contexto del corpus regulatorio.</t>
        </is>
      </c>
    </row>
    <row r="11" ht="28" customHeight="1">
      <c r="A11" s="4" t="inlineStr">
        <is>
          <t>Fila de ejecución + fila de informe</t>
        </is>
      </c>
      <c r="B11" s="48" t="n">
        <v>0.8</v>
      </c>
      <c r="C11" s="21" t="inlineStr">
        <is>
          <t>MEDIDO: metadatos, sin JSON.</t>
        </is>
      </c>
    </row>
    <row r="12" ht="28" customHeight="1">
      <c r="A12" s="4" t="inlineStr">
        <is>
          <t>Cache LLM por llamada nueva</t>
        </is>
      </c>
      <c r="B12" s="48" t="n">
        <v>2.2</v>
      </c>
      <c r="C12" s="21" t="inlineStr">
        <is>
          <t>MEDIDO: 60 filas de cache_llm, 129,7 KB en total.</t>
        </is>
      </c>
    </row>
    <row r="13" ht="28" customHeight="1">
      <c r="A13" s="4" t="inlineStr">
        <is>
          <t>PDF del informe</t>
        </is>
      </c>
      <c r="B13" s="48" t="n">
        <v>26</v>
      </c>
      <c r="C13" s="21" t="inlineStr">
        <is>
          <t>MEDIDO: 216 PDFs reales en informes/, 5,5 MB en total.</t>
        </is>
      </c>
    </row>
    <row r="15">
      <c r="A15" s="14" t="inlineStr">
        <is>
          <t>TOTAL por consulta PREMIUM (6 etapas)</t>
        </is>
      </c>
      <c r="B15" s="49">
        <f>B5+B6+B7+B8+B9+B10+B11+B12*4*(1-'LLM-MaaS'!$B$9)</f>
        <v/>
      </c>
      <c r="C15" s="11" t="inlineStr">
        <is>
          <t>4 etapas con LLM; el cache evita guardar el 30 % de las llamadas.</t>
        </is>
      </c>
    </row>
    <row r="16">
      <c r="A16" s="14" t="inlineStr">
        <is>
          <t>TOTAL por consulta GRATUITA (4 etapas)</t>
        </is>
      </c>
      <c r="B16" s="49">
        <f>B5+B6+B7+B8+B11+B12*2*(1-'LLM-MaaS'!$B$9)</f>
        <v/>
      </c>
      <c r="C16" s="11" t="inlineStr">
        <is>
          <t>El paywall corta antes de las etapas 4 y 5.</t>
        </is>
      </c>
    </row>
    <row r="18" ht="30" customHeight="1">
      <c r="A18" s="3" t="inlineStr">
        <is>
          <t>Crecimiento por snapshot de datos</t>
        </is>
      </c>
      <c r="B18" s="3" t="inlineStr">
        <is>
          <t>Valor</t>
        </is>
      </c>
      <c r="C18" s="3" t="inlineStr">
        <is>
          <t>Nota</t>
        </is>
      </c>
    </row>
    <row r="19" ht="26" customHeight="1">
      <c r="A19" s="4" t="inlineStr">
        <is>
          <t>Productos por snapshot</t>
        </is>
      </c>
      <c r="B19" s="50" t="n">
        <v>29054</v>
      </c>
      <c r="C19" s="21" t="inlineStr">
        <is>
          <t>MEDIDO: los 5 insumos piloto del snapshot 2026-07.</t>
        </is>
      </c>
    </row>
    <row r="20" ht="26" customHeight="1">
      <c r="A20" s="4" t="inlineStr">
        <is>
          <t>KB por producto (JSON + vector)</t>
        </is>
      </c>
      <c r="B20" s="48" t="n">
        <v>7.1</v>
      </c>
      <c r="C20" s="21" t="inlineStr">
        <is>
          <t>MEDIDO: 66 MB de JSON + 135 MB de índice LanceDB ÷ 29.054 productos.</t>
        </is>
      </c>
    </row>
    <row r="21" ht="26" customHeight="1">
      <c r="A21" s="4" t="inlineStr">
        <is>
          <t>Tamaño de un snapshot (MB)</t>
        </is>
      </c>
      <c r="B21" s="51">
        <f>B19*B20/1024</f>
        <v/>
      </c>
      <c r="C21" s="21" t="inlineStr">
        <is>
          <t>Calculado. El snapshot actual pesa ~201 MB.</t>
        </is>
      </c>
    </row>
    <row r="22" ht="26" customHeight="1">
      <c r="A22" s="4" t="inlineStr">
        <is>
          <t>Snapshots publicados al año</t>
        </is>
      </c>
      <c r="B22" s="35" t="n">
        <v>4</v>
      </c>
      <c r="C22" s="21" t="inlineStr">
        <is>
          <t>EDITAR. Trimestral es lo razonable; mensual multiplica por 3.</t>
        </is>
      </c>
    </row>
    <row r="23" ht="26" customHeight="1">
      <c r="A23" s="4" t="inlineStr">
        <is>
          <t>¿Se conservan los anteriores?</t>
        </is>
      </c>
      <c r="B23" s="22" t="inlineStr">
        <is>
          <t>Sí</t>
        </is>
      </c>
      <c r="C23" s="21" t="inlineStr">
        <is>
          <t>El versionado de OBS los guarda: es el respaldo de los datasets (H8 del ADR).</t>
        </is>
      </c>
    </row>
    <row r="26">
      <c r="A26" s="12" t="inlineStr">
        <is>
          <t>ACUMULADO MES A MES</t>
        </is>
      </c>
    </row>
    <row r="27" ht="30" customHeight="1">
      <c r="A27" s="3" t="inlineStr">
        <is>
          <t>Mes</t>
        </is>
      </c>
      <c r="B27" s="3" t="inlineStr">
        <is>
          <t>B · RDS (GB)</t>
        </is>
      </c>
      <c r="C27" s="3" t="inlineStr">
        <is>
          <t>B · OBS (GB)</t>
        </is>
      </c>
      <c r="D27" s="3" t="inlineStr">
        <is>
          <t>C · RDS (GB)</t>
        </is>
      </c>
      <c r="E27" s="3" t="inlineStr">
        <is>
          <t>C · OBS (GB)</t>
        </is>
      </c>
      <c r="F27" s="3" t="inlineStr">
        <is>
          <t>C · % del RDS presupuestado</t>
        </is>
      </c>
      <c r="G27" s="3" t="inlineStr">
        <is>
          <t>C · % del OBS presupuestado</t>
        </is>
      </c>
    </row>
    <row r="28">
      <c r="A28" s="52" t="n">
        <v>1</v>
      </c>
      <c r="B28" s="37">
        <f>A28*(Usuarios!$C$16*$B$15+Usuarios!$C$17*$B$16)/1048576</f>
        <v/>
      </c>
      <c r="C28" s="37">
        <f>2.3+A28*(Usuarios!$C$18*$B$13)/1048576+(1+INT(A28*$B$22/12))*$B$21/1024</f>
        <v/>
      </c>
      <c r="D28" s="37">
        <f>A28*(Usuarios!$D$16*$B$15+Usuarios!$D$17*$B$16)/1048576</f>
        <v/>
      </c>
      <c r="E28" s="37">
        <f>2.3+A28*(Usuarios!$D$18*$B$13)/1048576+(1+INT(A28*$B$22/12))*$B$21/1024</f>
        <v/>
      </c>
      <c r="F28" s="53">
        <f>D28/Detalle!$E$9</f>
        <v/>
      </c>
      <c r="G28" s="53">
        <f>E28/Detalle!$E$11</f>
        <v/>
      </c>
    </row>
    <row r="29">
      <c r="A29" s="52" t="n">
        <v>2</v>
      </c>
      <c r="B29" s="37">
        <f>A29*(Usuarios!$C$16*$B$15+Usuarios!$C$17*$B$16)/1048576</f>
        <v/>
      </c>
      <c r="C29" s="37">
        <f>2.3+A29*(Usuarios!$C$18*$B$13)/1048576+(1+INT(A29*$B$22/12))*$B$21/1024</f>
        <v/>
      </c>
      <c r="D29" s="37">
        <f>A29*(Usuarios!$D$16*$B$15+Usuarios!$D$17*$B$16)/1048576</f>
        <v/>
      </c>
      <c r="E29" s="37">
        <f>2.3+A29*(Usuarios!$D$18*$B$13)/1048576+(1+INT(A29*$B$22/12))*$B$21/1024</f>
        <v/>
      </c>
      <c r="F29" s="53">
        <f>D29/Detalle!$E$9</f>
        <v/>
      </c>
      <c r="G29" s="53">
        <f>E29/Detalle!$E$11</f>
        <v/>
      </c>
    </row>
    <row r="30">
      <c r="A30" s="52" t="n">
        <v>3</v>
      </c>
      <c r="B30" s="37">
        <f>A30*(Usuarios!$C$16*$B$15+Usuarios!$C$17*$B$16)/1048576</f>
        <v/>
      </c>
      <c r="C30" s="37">
        <f>2.3+A30*(Usuarios!$C$18*$B$13)/1048576+(1+INT(A30*$B$22/12))*$B$21/1024</f>
        <v/>
      </c>
      <c r="D30" s="37">
        <f>A30*(Usuarios!$D$16*$B$15+Usuarios!$D$17*$B$16)/1048576</f>
        <v/>
      </c>
      <c r="E30" s="37">
        <f>2.3+A30*(Usuarios!$D$18*$B$13)/1048576+(1+INT(A30*$B$22/12))*$B$21/1024</f>
        <v/>
      </c>
      <c r="F30" s="53">
        <f>D30/Detalle!$E$9</f>
        <v/>
      </c>
      <c r="G30" s="53">
        <f>E30/Detalle!$E$11</f>
        <v/>
      </c>
    </row>
    <row r="31">
      <c r="A31" s="52" t="n">
        <v>4</v>
      </c>
      <c r="B31" s="37">
        <f>A31*(Usuarios!$C$16*$B$15+Usuarios!$C$17*$B$16)/1048576</f>
        <v/>
      </c>
      <c r="C31" s="37">
        <f>2.3+A31*(Usuarios!$C$18*$B$13)/1048576+(1+INT(A31*$B$22/12))*$B$21/1024</f>
        <v/>
      </c>
      <c r="D31" s="37">
        <f>A31*(Usuarios!$D$16*$B$15+Usuarios!$D$17*$B$16)/1048576</f>
        <v/>
      </c>
      <c r="E31" s="37">
        <f>2.3+A31*(Usuarios!$D$18*$B$13)/1048576+(1+INT(A31*$B$22/12))*$B$21/1024</f>
        <v/>
      </c>
      <c r="F31" s="53">
        <f>D31/Detalle!$E$9</f>
        <v/>
      </c>
      <c r="G31" s="53">
        <f>E31/Detalle!$E$11</f>
        <v/>
      </c>
    </row>
    <row r="32">
      <c r="A32" s="52" t="n">
        <v>5</v>
      </c>
      <c r="B32" s="37">
        <f>A32*(Usuarios!$C$16*$B$15+Usuarios!$C$17*$B$16)/1048576</f>
        <v/>
      </c>
      <c r="C32" s="37">
        <f>2.3+A32*(Usuarios!$C$18*$B$13)/1048576+(1+INT(A32*$B$22/12))*$B$21/1024</f>
        <v/>
      </c>
      <c r="D32" s="37">
        <f>A32*(Usuarios!$D$16*$B$15+Usuarios!$D$17*$B$16)/1048576</f>
        <v/>
      </c>
      <c r="E32" s="37">
        <f>2.3+A32*(Usuarios!$D$18*$B$13)/1048576+(1+INT(A32*$B$22/12))*$B$21/1024</f>
        <v/>
      </c>
      <c r="F32" s="53">
        <f>D32/Detalle!$E$9</f>
        <v/>
      </c>
      <c r="G32" s="53">
        <f>E32/Detalle!$E$11</f>
        <v/>
      </c>
    </row>
    <row r="33">
      <c r="A33" s="52" t="n">
        <v>6</v>
      </c>
      <c r="B33" s="37">
        <f>A33*(Usuarios!$C$16*$B$15+Usuarios!$C$17*$B$16)/1048576</f>
        <v/>
      </c>
      <c r="C33" s="37">
        <f>2.3+A33*(Usuarios!$C$18*$B$13)/1048576+(1+INT(A33*$B$22/12))*$B$21/1024</f>
        <v/>
      </c>
      <c r="D33" s="37">
        <f>A33*(Usuarios!$D$16*$B$15+Usuarios!$D$17*$B$16)/1048576</f>
        <v/>
      </c>
      <c r="E33" s="37">
        <f>2.3+A33*(Usuarios!$D$18*$B$13)/1048576+(1+INT(A33*$B$22/12))*$B$21/1024</f>
        <v/>
      </c>
      <c r="F33" s="53">
        <f>D33/Detalle!$E$9</f>
        <v/>
      </c>
      <c r="G33" s="53">
        <f>E33/Detalle!$E$11</f>
        <v/>
      </c>
    </row>
    <row r="34">
      <c r="A34" s="52" t="n">
        <v>7</v>
      </c>
      <c r="B34" s="37">
        <f>A34*(Usuarios!$C$16*$B$15+Usuarios!$C$17*$B$16)/1048576</f>
        <v/>
      </c>
      <c r="C34" s="37">
        <f>2.3+A34*(Usuarios!$C$18*$B$13)/1048576+(1+INT(A34*$B$22/12))*$B$21/1024</f>
        <v/>
      </c>
      <c r="D34" s="37">
        <f>A34*(Usuarios!$D$16*$B$15+Usuarios!$D$17*$B$16)/1048576</f>
        <v/>
      </c>
      <c r="E34" s="37">
        <f>2.3+A34*(Usuarios!$D$18*$B$13)/1048576+(1+INT(A34*$B$22/12))*$B$21/1024</f>
        <v/>
      </c>
      <c r="F34" s="53">
        <f>D34/Detalle!$E$9</f>
        <v/>
      </c>
      <c r="G34" s="53">
        <f>E34/Detalle!$E$11</f>
        <v/>
      </c>
    </row>
    <row r="35">
      <c r="A35" s="52" t="n">
        <v>8</v>
      </c>
      <c r="B35" s="37">
        <f>A35*(Usuarios!$C$16*$B$15+Usuarios!$C$17*$B$16)/1048576</f>
        <v/>
      </c>
      <c r="C35" s="37">
        <f>2.3+A35*(Usuarios!$C$18*$B$13)/1048576+(1+INT(A35*$B$22/12))*$B$21/1024</f>
        <v/>
      </c>
      <c r="D35" s="37">
        <f>A35*(Usuarios!$D$16*$B$15+Usuarios!$D$17*$B$16)/1048576</f>
        <v/>
      </c>
      <c r="E35" s="37">
        <f>2.3+A35*(Usuarios!$D$18*$B$13)/1048576+(1+INT(A35*$B$22/12))*$B$21/1024</f>
        <v/>
      </c>
      <c r="F35" s="53">
        <f>D35/Detalle!$E$9</f>
        <v/>
      </c>
      <c r="G35" s="53">
        <f>E35/Detalle!$E$11</f>
        <v/>
      </c>
    </row>
    <row r="36">
      <c r="A36" s="52" t="n">
        <v>9</v>
      </c>
      <c r="B36" s="37">
        <f>A36*(Usuarios!$C$16*$B$15+Usuarios!$C$17*$B$16)/1048576</f>
        <v/>
      </c>
      <c r="C36" s="37">
        <f>2.3+A36*(Usuarios!$C$18*$B$13)/1048576+(1+INT(A36*$B$22/12))*$B$21/1024</f>
        <v/>
      </c>
      <c r="D36" s="37">
        <f>A36*(Usuarios!$D$16*$B$15+Usuarios!$D$17*$B$16)/1048576</f>
        <v/>
      </c>
      <c r="E36" s="37">
        <f>2.3+A36*(Usuarios!$D$18*$B$13)/1048576+(1+INT(A36*$B$22/12))*$B$21/1024</f>
        <v/>
      </c>
      <c r="F36" s="53">
        <f>D36/Detalle!$E$9</f>
        <v/>
      </c>
      <c r="G36" s="53">
        <f>E36/Detalle!$E$11</f>
        <v/>
      </c>
    </row>
    <row r="37">
      <c r="A37" s="52" t="n">
        <v>10</v>
      </c>
      <c r="B37" s="37">
        <f>A37*(Usuarios!$C$16*$B$15+Usuarios!$C$17*$B$16)/1048576</f>
        <v/>
      </c>
      <c r="C37" s="37">
        <f>2.3+A37*(Usuarios!$C$18*$B$13)/1048576+(1+INT(A37*$B$22/12))*$B$21/1024</f>
        <v/>
      </c>
      <c r="D37" s="37">
        <f>A37*(Usuarios!$D$16*$B$15+Usuarios!$D$17*$B$16)/1048576</f>
        <v/>
      </c>
      <c r="E37" s="37">
        <f>2.3+A37*(Usuarios!$D$18*$B$13)/1048576+(1+INT(A37*$B$22/12))*$B$21/1024</f>
        <v/>
      </c>
      <c r="F37" s="53">
        <f>D37/Detalle!$E$9</f>
        <v/>
      </c>
      <c r="G37" s="53">
        <f>E37/Detalle!$E$11</f>
        <v/>
      </c>
    </row>
    <row r="38">
      <c r="A38" s="52" t="n">
        <v>11</v>
      </c>
      <c r="B38" s="37">
        <f>A38*(Usuarios!$C$16*$B$15+Usuarios!$C$17*$B$16)/1048576</f>
        <v/>
      </c>
      <c r="C38" s="37">
        <f>2.3+A38*(Usuarios!$C$18*$B$13)/1048576+(1+INT(A38*$B$22/12))*$B$21/1024</f>
        <v/>
      </c>
      <c r="D38" s="37">
        <f>A38*(Usuarios!$D$16*$B$15+Usuarios!$D$17*$B$16)/1048576</f>
        <v/>
      </c>
      <c r="E38" s="37">
        <f>2.3+A38*(Usuarios!$D$18*$B$13)/1048576+(1+INT(A38*$B$22/12))*$B$21/1024</f>
        <v/>
      </c>
      <c r="F38" s="53">
        <f>D38/Detalle!$E$9</f>
        <v/>
      </c>
      <c r="G38" s="53">
        <f>E38/Detalle!$E$11</f>
        <v/>
      </c>
    </row>
    <row r="39">
      <c r="A39" s="54" t="n">
        <v>12</v>
      </c>
      <c r="B39" s="55">
        <f>A39*(Usuarios!$C$16*$B$15+Usuarios!$C$17*$B$16)/1048576</f>
        <v/>
      </c>
      <c r="C39" s="55">
        <f>2.3+A39*(Usuarios!$C$18*$B$13)/1048576+(1+INT(A39*$B$22/12))*$B$21/1024</f>
        <v/>
      </c>
      <c r="D39" s="55">
        <f>A39*(Usuarios!$D$16*$B$15+Usuarios!$D$17*$B$16)/1048576</f>
        <v/>
      </c>
      <c r="E39" s="55">
        <f>2.3+A39*(Usuarios!$D$18*$B$13)/1048576+(1+INT(A39*$B$22/12))*$B$21/1024</f>
        <v/>
      </c>
      <c r="F39" s="56">
        <f>D39/Detalle!$E$9</f>
        <v/>
      </c>
      <c r="G39" s="56">
        <f>E39/Detalle!$E$11</f>
        <v/>
      </c>
    </row>
    <row r="41">
      <c r="A41" s="43" t="inlineStr">
        <is>
          <t>Veredicto</t>
        </is>
      </c>
    </row>
    <row r="42" ht="48" customHeight="1">
      <c r="A42" s="19" t="inlineStr">
        <is>
          <t>1. NADA se desborda en el primer año. Con el escenario C —250 usuarios activos, 2.500 consultas al mes— el RDS llega al mes 12 con unos 3 GB de los 40 GB contratados (7 %) y el OBS con unos 4 GB de los 20 GB (20 %). El almacenamiento presupuestado da para más de una década al ritmo del escenario C.</t>
        </is>
      </c>
    </row>
    <row r="43" ht="48" customHeight="1">
      <c r="A43" s="19" t="inlineStr">
        <is>
          <t>2. Lo que hace crecer la plataforma NO son los usuarios: son los snapshots. Un snapshot de los 5 insumos piloto pesa ~201 MB, y con versionado de OBS los anteriores se conservan. Pasar de 5 a 20 insumos multiplica por 4 el tamaño de CADA snapshot (~800 MB), y publicar mensualmente en vez de trimestralmente lo multiplica por 3 otra vez. Ahí sí hay que rehacer la cuenta: son los dos únicos parámetros que mueven la aguja.</t>
        </is>
      </c>
    </row>
    <row r="44" ht="48" customHeight="1">
      <c r="A44" s="19" t="inlineStr">
        <is>
          <t>3. Hallazgo: la etapa 2b ocupa 59 KB por consulta, cinco veces más que cualquier otra etapa, porque guarda el mapa comercial completo en salida_json. Hoy es irrelevante en volumen, pero es la línea que crecería si el mapa pasara de 30 a 200 productos. Si algún día molesta, la solución es guardar los identificadores y reconstruir el mapa desde el catálogo, no comprimir.</t>
        </is>
      </c>
    </row>
    <row r="45" ht="48" customHeight="1">
      <c r="A45" s="19" t="inlineStr">
        <is>
          <t>4. Hallazgo: cache_llm no tiene TTL ni purga. La clave incluye snapshot_version, así que las entradas viejas quedan lógicamente invalidadas pero las filas se acumulan. A 2,2 KB por fila no es un problema de espacio en años; conviene saberlo antes de que alguien lo descubra buscando otra cosa.</t>
        </is>
      </c>
    </row>
    <row r="46" ht="48" customHeight="1">
      <c r="A46" s="19" t="inlineStr">
        <is>
          <t>5. Lo que sí conviene automatizar desde el día 1: purgar los PDFs locales de /data/informes tras subirlos a OBS. Son 26 KB cada uno, pero el disco es el único almacén sin política de retención.</t>
        </is>
      </c>
    </row>
  </sheetData>
  <mergeCells count="5">
    <mergeCell ref="A44:G44"/>
    <mergeCell ref="A42:G42"/>
    <mergeCell ref="A43:G43"/>
    <mergeCell ref="A45:G45"/>
    <mergeCell ref="A46:G46"/>
  </mergeCells>
  <pageMargins left="0.75" right="0.75" top="1" bottom="1" header="0.5" footer="0.5"/>
</worksheet>
</file>

<file path=xl/worksheets/sheet9.xml><?xml version="1.0" encoding="utf-8"?>
<worksheet xmlns="http://schemas.openxmlformats.org/spreadsheetml/2006/main">
  <sheetPr>
    <tabColor rgb="001F6F8B"/>
    <outlinePr summaryBelow="1" summaryRight="1"/>
    <pageSetUpPr/>
  </sheetPr>
  <dimension ref="A1:H50"/>
  <sheetViews>
    <sheetView showGridLines="0" workbookViewId="0">
      <selection activeCell="A1" sqref="A1"/>
    </sheetView>
  </sheetViews>
  <sheetFormatPr baseColWidth="8" defaultRowHeight="15"/>
  <cols>
    <col width="34" customWidth="1" min="1" max="1"/>
    <col width="20" customWidth="1" min="2" max="2"/>
    <col width="20" customWidth="1" min="3" max="3"/>
    <col width="70" customWidth="1" min="4" max="4"/>
    <col width="26" customWidth="1" min="5" max="5"/>
    <col width="16" customWidth="1" min="6" max="6"/>
    <col width="14" customWidth="1" min="7" max="7"/>
    <col width="56" customWidth="1" min="8" max="8"/>
  </cols>
  <sheetData>
    <row r="1">
      <c r="A1" s="1" t="inlineStr">
        <is>
          <t>Ingesta de datos — lo que el software traga en cada ciclo</t>
        </is>
      </c>
    </row>
    <row r="2">
      <c r="A2" s="2" t="inlineStr">
        <is>
          <t>Tiempos y volúmenes MEDIDOS en los logs del ETL de la Semana 2 (datasets/2026-07/)</t>
        </is>
      </c>
    </row>
    <row r="4" ht="30" customHeight="1">
      <c r="A4" s="3" t="inlineStr">
        <is>
          <t>Fuente</t>
        </is>
      </c>
      <c r="B4" s="3" t="inlineStr">
        <is>
          <t>Método</t>
        </is>
      </c>
      <c r="C4" s="3" t="inlineStr">
        <is>
          <t>Descargado</t>
        </is>
      </c>
      <c r="D4" s="3" t="inlineStr">
        <is>
          <t>Filas leídas</t>
        </is>
      </c>
      <c r="E4" s="3" t="inlineStr">
        <is>
          <t>Registros retenidos</t>
        </is>
      </c>
      <c r="F4" s="3" t="inlineStr">
        <is>
          <t>Tiempo medido</t>
        </is>
      </c>
      <c r="G4" s="3" t="inlineStr">
        <is>
          <t>Frecuencia</t>
        </is>
      </c>
      <c r="H4" s="3" t="inlineStr">
        <is>
          <t>Nota</t>
        </is>
      </c>
    </row>
    <row r="5" ht="40" customHeight="1">
      <c r="A5" s="57" t="inlineStr">
        <is>
          <t>Open Food Facts</t>
        </is>
      </c>
      <c r="B5" s="27" t="inlineStr">
        <is>
          <t>Export masivo CSV.gz</t>
        </is>
      </c>
      <c r="C5" s="28" t="inlineStr">
        <is>
          <t>2,0 GB</t>
        </is>
      </c>
      <c r="D5" s="28" t="inlineStr">
        <is>
          <t>4.532.767</t>
        </is>
      </c>
      <c r="E5" s="28" t="inlineStr">
        <is>
          <t>28.236</t>
        </is>
      </c>
      <c r="F5" s="28" t="inlineStr">
        <is>
          <t>10 min 29 s</t>
        </is>
      </c>
      <c r="G5" s="28" t="inlineStr">
        <is>
          <t>Trimestral</t>
        </is>
      </c>
      <c r="H5" s="21" t="inlineStr">
        <is>
          <t>MEDIDO en etl_off_bulk.log: descarga 2 min 30 s (13 MB/s) + filtrado 7 min 59 s. Es el 97 % de toda la ingesta.</t>
        </is>
      </c>
    </row>
    <row r="6" ht="40" customHeight="1">
      <c r="A6" s="57" t="inlineStr">
        <is>
          <t>USDA Branded</t>
        </is>
      </c>
      <c r="B6" s="27" t="inlineStr">
        <is>
          <t>API por insumo</t>
        </is>
      </c>
      <c r="C6" s="28" t="inlineStr">
        <is>
          <t>~15 MB</t>
        </is>
      </c>
      <c r="D6" s="28" t="inlineStr">
        <is>
          <t>—</t>
        </is>
      </c>
      <c r="E6" s="28" t="inlineStr">
        <is>
          <t>990 → 818 tras dedup</t>
        </is>
      </c>
      <c r="F6" s="28" t="inlineStr">
        <is>
          <t>5-15 min</t>
        </is>
      </c>
      <c r="G6" s="28" t="inlineStr">
        <is>
          <t>Trimestral</t>
        </is>
      </c>
      <c r="H6" s="21" t="inlineStr">
        <is>
          <t>Requiere USDA_API_KEY. Filtra dataType=Branded y trae modifiedDate como fecha real.</t>
        </is>
      </c>
    </row>
    <row r="7" ht="40" customHeight="1">
      <c r="A7" s="57" t="inlineStr">
        <is>
          <t>eCFR Title 21</t>
        </is>
      </c>
      <c r="B7" s="27" t="inlineStr">
        <is>
          <t>API pública</t>
        </is>
      </c>
      <c r="C7" s="28" t="inlineStr">
        <is>
          <t>~5 MB</t>
        </is>
      </c>
      <c r="D7" s="28" t="inlineStr">
        <is>
          <t>—</t>
        </is>
      </c>
      <c r="E7" s="28" t="inlineStr">
        <is>
          <t>702 documentos</t>
        </is>
      </c>
      <c r="F7" s="28" t="inlineStr">
        <is>
          <t>~10 min</t>
        </is>
      </c>
      <c r="G7" s="28" t="inlineStr">
        <is>
          <t>Semestral</t>
        </is>
      </c>
      <c r="H7" s="21" t="inlineStr">
        <is>
          <t>99.333 palabras. NO cubre los insumos piloto: es normativa de aditivos.</t>
        </is>
      </c>
    </row>
    <row r="8" ht="40" customHeight="1">
      <c r="A8" s="57" t="inlineStr">
        <is>
          <t>DIGESA</t>
        </is>
      </c>
      <c r="B8" s="27" t="inlineStr">
        <is>
          <t>Descarga de PDF + extracción</t>
        </is>
      </c>
      <c r="C8" s="28" t="inlineStr">
        <is>
          <t>~20 MB</t>
        </is>
      </c>
      <c r="D8" s="28" t="inlineStr">
        <is>
          <t>—</t>
        </is>
      </c>
      <c r="E8" s="28" t="inlineStr">
        <is>
          <t>32 documentos</t>
        </is>
      </c>
      <c r="F8" s="28" t="inlineStr">
        <is>
          <t>~30 min</t>
        </is>
      </c>
      <c r="G8" s="28" t="inlineStr">
        <is>
          <t>Semestral</t>
        </is>
      </c>
      <c r="H8" s="21" t="inlineStr">
        <is>
          <t>6.602 palabras. 5 PDFs quedaron fuera por ser escaneos. El sitio devuelve 403 si se piden páginas seguidas.</t>
        </is>
      </c>
    </row>
    <row r="9" ht="40" customHeight="1">
      <c r="A9" s="57" t="inlineStr">
        <is>
          <t>Open Prices</t>
        </is>
      </c>
      <c r="B9" s="27" t="inlineStr">
        <is>
          <t>API por código de barras</t>
        </is>
      </c>
      <c r="C9" s="28" t="inlineStr">
        <is>
          <t>&lt;1 MB</t>
        </is>
      </c>
      <c r="D9" s="28" t="inlineStr">
        <is>
          <t>—</t>
        </is>
      </c>
      <c r="E9" s="28" t="inlineStr">
        <is>
          <t>Por medir (sonda de S4)</t>
        </is>
      </c>
      <c r="F9" s="28" t="inlineStr">
        <is>
          <t>~5 min</t>
        </is>
      </c>
      <c r="G9" s="28" t="inlineStr">
        <is>
          <t>Trimestral</t>
        </is>
      </c>
      <c r="H9" s="21" t="inlineStr">
        <is>
          <t>Aún no integrada. La sonda del TIER 1 de S4 mide primero la cobertura real.</t>
        </is>
      </c>
    </row>
    <row r="10" ht="40" customHeight="1">
      <c r="A10" s="57" t="inlineStr">
        <is>
          <t>Agente web (fase F4)</t>
        </is>
      </c>
      <c r="B10" s="27" t="inlineStr">
        <is>
          <t>Tavily + extracción</t>
        </is>
      </c>
      <c r="C10" s="28" t="inlineStr">
        <is>
          <t>Variable</t>
        </is>
      </c>
      <c r="D10" s="28" t="inlineStr">
        <is>
          <t>—</t>
        </is>
      </c>
      <c r="E10" s="28" t="inlineStr">
        <is>
          <t>A cuarentena con TTL</t>
        </is>
      </c>
      <c r="F10" s="28" t="inlineStr">
        <is>
          <t>Por run</t>
        </is>
      </c>
      <c r="G10" s="28" t="inlineStr">
        <is>
          <t>Continua</t>
        </is>
      </c>
      <c r="H10" s="21" t="inlineStr">
        <is>
          <t>No entra en el MVP. Ingesta continua y de bajo volumen, con grounding check antes de promover.</t>
        </is>
      </c>
    </row>
    <row r="12">
      <c r="A12" s="12" t="inlineStr">
        <is>
          <t>LO QUE ESTO SIGNIFICA</t>
        </is>
      </c>
    </row>
    <row r="13" ht="30" customHeight="1">
      <c r="A13" s="3" t="inlineStr">
        <is>
          <t>Métrica del ciclo</t>
        </is>
      </c>
      <c r="B13" s="3" t="inlineStr">
        <is>
          <t>Valor</t>
        </is>
      </c>
      <c r="C13" s="3" t="inlineStr">
        <is>
          <t>Cómo sale</t>
        </is>
      </c>
    </row>
    <row r="14" ht="26" customHeight="1">
      <c r="A14" s="4" t="inlineStr">
        <is>
          <t>Ratio de retención (filas)</t>
        </is>
      </c>
      <c r="B14" s="58" t="n">
        <v>0.0062</v>
      </c>
      <c r="C14" s="21" t="inlineStr">
        <is>
          <t>28.236 de 4.532.767 filas de OFF. Se descarta el 99,4 %.</t>
        </is>
      </c>
    </row>
    <row r="15" ht="26" customHeight="1">
      <c r="A15" s="4" t="inlineStr">
        <is>
          <t>Ratio de retención (bytes)</t>
        </is>
      </c>
      <c r="B15" s="58" t="n">
        <v>0.033</v>
      </c>
      <c r="C15" s="21" t="inlineStr">
        <is>
          <t>66 MB de JSON retenidos de 2,0 GB descargados.</t>
        </is>
      </c>
    </row>
    <row r="16" ht="26" customHeight="1">
      <c r="A16" s="4" t="inlineStr">
        <is>
          <t>Descarga por ciclo (GB)</t>
        </is>
      </c>
      <c r="B16" s="48" t="n">
        <v>2.05</v>
      </c>
      <c r="C16" s="21" t="inlineStr">
        <is>
          <t>OFF domina; el resto de fuentes son ruido a su lado.</t>
        </is>
      </c>
    </row>
    <row r="17" ht="26" customHeight="1">
      <c r="A17" s="4" t="inlineStr">
        <is>
          <t>Tiempo de ingesta por ciclo (min)</t>
        </is>
      </c>
      <c r="B17" s="48" t="n">
        <v>70</v>
      </c>
      <c r="C17" s="21" t="inlineStr">
        <is>
          <t>OFF 10,5 + USDA 15 + eCFR 10 + DIGESA 30, con margen. Sin embeddings.</t>
        </is>
      </c>
    </row>
    <row r="18" ht="26" customHeight="1">
      <c r="A18" s="4" t="inlineStr">
        <is>
          <t>Disco temporal necesario (GB)</t>
        </is>
      </c>
      <c r="B18" s="48" t="n">
        <v>5</v>
      </c>
      <c r="C18" s="21" t="inlineStr">
        <is>
          <t>El .gz de 2 GB más margen. Se lee en streaming: no se descomprime a disco.</t>
        </is>
      </c>
    </row>
    <row r="19" ht="26" customHeight="1">
      <c r="A19" s="4" t="inlineStr">
        <is>
          <t>Coste del tráfico de ENTRADA</t>
        </is>
      </c>
      <c r="B19" s="33" t="n">
        <v>0</v>
      </c>
      <c r="C19" s="21" t="inlineStr">
        <is>
          <t>El ingress no se cobra en Huawei Cloud. Descargar 2 GB por ciclo es gratis.</t>
        </is>
      </c>
    </row>
    <row r="20" ht="26" customHeight="1">
      <c r="A20" s="4" t="inlineStr">
        <is>
          <t>Snapshot resultante (MB)</t>
        </is>
      </c>
      <c r="B20" s="48" t="n">
        <v>201</v>
      </c>
      <c r="C20" s="21" t="inlineStr">
        <is>
          <t>66 MB de JSON + 135 MB de índice vectorial.</t>
        </is>
      </c>
    </row>
    <row r="22">
      <c r="A22" s="43" t="inlineStr">
        <is>
          <t>EL CUELLO DE LA INGESTA NO ES LA DESCARGA: SON LOS EMBEDDINGS</t>
        </is>
      </c>
    </row>
    <row r="23" ht="30" customHeight="1">
      <c r="A23" s="3" t="inlineStr">
        <is>
          <t>Modo de indexación</t>
        </is>
      </c>
      <c r="B23" s="3" t="inlineStr">
        <is>
          <t>Velocidad medida</t>
        </is>
      </c>
      <c r="C23" s="3" t="inlineStr">
        <is>
          <t>29.054 productos</t>
        </is>
      </c>
      <c r="D23" s="3" t="inlineStr">
        <is>
          <t>116.000 productos (20 insumos)</t>
        </is>
      </c>
      <c r="E23" s="3" t="inlineStr">
        <is>
          <t>Nota</t>
        </is>
      </c>
    </row>
    <row r="24" ht="34" customHeight="1">
      <c r="A24" s="57" t="inlineStr">
        <is>
          <t>GPU (RTX 4060, batch 128)</t>
        </is>
      </c>
      <c r="B24" s="28" t="inlineStr">
        <is>
          <t>100-200 prod/s</t>
        </is>
      </c>
      <c r="C24" s="28" t="inlineStr">
        <is>
          <t>15-30 min</t>
        </is>
      </c>
      <c r="D24" s="28" t="inlineStr">
        <is>
          <t>1-2 horas</t>
        </is>
      </c>
      <c r="E24" s="21" t="inlineStr">
        <is>
          <t>MEDIDO en TIER 4 de la Semana 2. Es la máquina de desarrollo, no la nube.</t>
        </is>
      </c>
    </row>
    <row r="25" ht="34" customHeight="1">
      <c r="A25" s="57" t="inlineStr">
        <is>
          <t>CPU (el ECS de producción)</t>
        </is>
      </c>
      <c r="B25" s="28" t="inlineStr">
        <is>
          <t>4-5 prod/s</t>
        </is>
      </c>
      <c r="C25" s="28" t="inlineStr">
        <is>
          <t>2-3 horas</t>
        </is>
      </c>
      <c r="D25" s="28" t="inlineStr">
        <is>
          <t>7-8 horas</t>
        </is>
      </c>
      <c r="E25" s="21" t="inlineStr">
        <is>
          <t>El ECS NO tiene GPU. Reindexar entero en producción bloquea el nodo y compite con la API.</t>
        </is>
      </c>
    </row>
    <row r="26" ht="34" customHeight="1">
      <c r="A26" s="57" t="inlineStr">
        <is>
          <t>Incremental (solo lo nuevo)</t>
        </is>
      </c>
      <c r="B26" s="28" t="inlineStr">
        <is>
          <t>80 prod/s en GPU</t>
        </is>
      </c>
      <c r="C26" s="28" t="inlineStr">
        <is>
          <t>10,2 s para 818 nuevos</t>
        </is>
      </c>
      <c r="D26" s="28" t="inlineStr">
        <is>
          <t>Proporcional al delta</t>
        </is>
      </c>
      <c r="E26" s="21" t="inlineStr">
        <is>
          <t>MEDIDO en TIER 7: etl/indexar_incremental.py compara por id y embebe solo lo que falta. Es el modo normal.</t>
        </is>
      </c>
    </row>
    <row r="28">
      <c r="A28" s="12" t="inlineStr">
        <is>
          <t>¿DÓNDE CORRE LA INGESTA? (hoy: en un portátil)</t>
        </is>
      </c>
    </row>
    <row r="29" ht="30" customHeight="1">
      <c r="A29" s="3" t="inlineStr">
        <is>
          <t>Opción</t>
        </is>
      </c>
      <c r="B29" s="3" t="inlineStr">
        <is>
          <t>Coste anual</t>
        </is>
      </c>
      <c r="C29" s="3" t="inlineStr">
        <is>
          <t>Ventaja</t>
        </is>
      </c>
      <c r="D29" s="3" t="inlineStr">
        <is>
          <t>Inconveniente</t>
        </is>
      </c>
      <c r="E29" s="3" t="inlineStr">
        <is>
          <t>Veredicto</t>
        </is>
      </c>
    </row>
    <row r="30" ht="44" customHeight="1">
      <c r="A30" s="8" t="inlineStr">
        <is>
          <t>A · Portátil con RTX 4060 y subida a OBS</t>
        </is>
      </c>
      <c r="B30" s="34" t="n">
        <v>0</v>
      </c>
      <c r="C30" s="21" t="inlineStr">
        <is>
          <t>Coste cero y es lo que ya funciona: TIER 4 y TIER 7 se hicieron así.</t>
        </is>
      </c>
      <c r="D30" s="21" t="inlineStr">
        <is>
          <t>La reproducibilidad depende de una máquina personal. Si esa máquina no está, no hay snapshot nuevo.</t>
        </is>
      </c>
      <c r="E30" s="57" t="inlineStr">
        <is>
          <t>Vale para el MVP</t>
        </is>
      </c>
    </row>
    <row r="31" ht="44" customHeight="1">
      <c r="A31" s="8" t="inlineStr">
        <is>
          <t>B · En el ECS de producción, con CPU</t>
        </is>
      </c>
      <c r="B31" s="34" t="n">
        <v>0</v>
      </c>
      <c r="C31" s="21" t="inlineStr">
        <is>
          <t>Todo en la nube, sin piezas fuera del despliegue.</t>
        </is>
      </c>
      <c r="D31" s="21" t="inlineStr">
        <is>
          <t>2-3 h de CPU al 100 % por ciclo completo compitiendo con la API: la latencia p95 se va al techo.</t>
        </is>
      </c>
      <c r="E31" s="57" t="inlineStr">
        <is>
          <t>Solo en modo incremental</t>
        </is>
      </c>
    </row>
    <row r="32" ht="44" customHeight="1">
      <c r="A32" s="59" t="inlineStr">
        <is>
          <t>C · ECS con GPU encendido por horas</t>
        </is>
      </c>
      <c r="B32" s="33" t="n">
        <v>8</v>
      </c>
      <c r="C32" s="60" t="inlineStr">
        <is>
          <t>1 hora por trimestre a ~US$ 1-2/h. Reproducible, en la nube y no toca el nodo de producción.</t>
        </is>
      </c>
      <c r="D32" s="60" t="inlineStr">
        <is>
          <t>Una pieza más que aprovisionar, aunque sea efímera.</t>
        </is>
      </c>
      <c r="E32" s="61" t="inlineStr">
        <is>
          <t>RECOMENDADA</t>
        </is>
      </c>
    </row>
    <row r="33" ht="44" customHeight="1">
      <c r="A33" s="8" t="inlineStr">
        <is>
          <t>D · Nodo dedicado con GPU 24×7</t>
        </is>
      </c>
      <c r="B33" s="34" t="n">
        <v>1500</v>
      </c>
      <c r="C33" s="21" t="inlineStr">
        <is>
          <t>Disponible siempre.</t>
        </is>
      </c>
      <c r="D33" s="21" t="inlineStr">
        <is>
          <t>Se paga el 100 % del mes para usarlo 4 horas al año.</t>
        </is>
      </c>
      <c r="E33" s="57" t="inlineStr">
        <is>
          <t>Descartada</t>
        </is>
      </c>
    </row>
    <row r="35">
      <c r="A35" s="12" t="inlineStr">
        <is>
          <t>PROYECCIÓN ANUAL DE INGESTA</t>
        </is>
      </c>
    </row>
    <row r="36" ht="30" customHeight="1">
      <c r="A36" s="3" t="inlineStr">
        <is>
          <t>Concepto</t>
        </is>
      </c>
      <c r="B36" s="3" t="inlineStr">
        <is>
          <t>5 insumos (hoy)</t>
        </is>
      </c>
      <c r="C36" s="3" t="inlineStr">
        <is>
          <t>20 insumos</t>
        </is>
      </c>
      <c r="D36" s="3" t="inlineStr">
        <is>
          <t>Nota</t>
        </is>
      </c>
    </row>
    <row r="37" ht="28" customHeight="1">
      <c r="A37" s="4" t="inlineStr">
        <is>
          <t>Ciclos al año</t>
        </is>
      </c>
      <c r="B37" s="23" t="n">
        <v>4</v>
      </c>
      <c r="C37" s="23" t="n">
        <v>4</v>
      </c>
      <c r="D37" s="7" t="inlineStr">
        <is>
          <t>EDITAR. Trimestral. Mensual multiplica todo por 3.</t>
        </is>
      </c>
    </row>
    <row r="38" ht="28" customHeight="1">
      <c r="A38" s="4" t="inlineStr">
        <is>
          <t>GB descargados al año</t>
        </is>
      </c>
      <c r="B38" s="62">
        <f>B37*2.05</f>
        <v/>
      </c>
      <c r="C38" s="62">
        <f>C37*2.05*1.0</f>
        <v/>
      </c>
      <c r="D38" s="7" t="inlineStr">
        <is>
          <t>El export de OFF es el mismo tamaño: no depende de cuántos insumos se filtren.</t>
        </is>
      </c>
    </row>
    <row r="39" ht="28" customHeight="1">
      <c r="A39" s="4" t="inlineStr">
        <is>
          <t>Millones de filas procesadas</t>
        </is>
      </c>
      <c r="B39" s="62">
        <f>B37*4.53</f>
        <v/>
      </c>
      <c r="C39" s="62">
        <f>C37*4.53</f>
        <v/>
      </c>
      <c r="D39" s="7" t="inlineStr">
        <is>
          <t>Se lee el export entero en las dos hipótesis.</t>
        </is>
      </c>
    </row>
    <row r="40" ht="28" customHeight="1">
      <c r="A40" s="4" t="inlineStr">
        <is>
          <t>Productos retenidos por ciclo</t>
        </is>
      </c>
      <c r="B40" s="23" t="n">
        <v>29054</v>
      </c>
      <c r="C40" s="23" t="n">
        <v>116000</v>
      </c>
      <c r="D40" s="7" t="inlineStr">
        <is>
          <t>El filtro es lo único que cambia al añadir insumos.</t>
        </is>
      </c>
    </row>
    <row r="41" ht="28" customHeight="1">
      <c r="A41" s="4" t="inlineStr">
        <is>
          <t>MB de snapshot por ciclo</t>
        </is>
      </c>
      <c r="B41" s="62">
        <f>B40*7.1/1024</f>
        <v/>
      </c>
      <c r="C41" s="62">
        <f>C40*7.1/1024</f>
        <v/>
      </c>
      <c r="D41" s="7" t="inlineStr">
        <is>
          <t>7,1 KB por producto entre JSON y vector (medido).</t>
        </is>
      </c>
    </row>
    <row r="42" ht="28" customHeight="1">
      <c r="A42" s="4" t="inlineStr">
        <is>
          <t>GB acumulados al año en OBS</t>
        </is>
      </c>
      <c r="B42" s="62">
        <f>B37*B41/1024</f>
        <v/>
      </c>
      <c r="C42" s="62">
        <f>C37*C41/1024</f>
        <v/>
      </c>
      <c r="D42" s="7" t="inlineStr">
        <is>
          <t>Con versionado: los snapshots antiguos se conservan.</t>
        </is>
      </c>
    </row>
    <row r="43" ht="28" customHeight="1">
      <c r="A43" s="4" t="inlineStr">
        <is>
          <t>Horas de indexación al año (GPU)</t>
        </is>
      </c>
      <c r="B43" s="62">
        <f>B37*B40/150/3600</f>
        <v/>
      </c>
      <c r="C43" s="62">
        <f>C37*C40/150/3600</f>
        <v/>
      </c>
      <c r="D43" s="7" t="inlineStr">
        <is>
          <t>A 150 prod/s. Reindexado COMPLETO; en incremental es una fracción.</t>
        </is>
      </c>
    </row>
    <row r="44" ht="28" customHeight="1">
      <c r="A44" s="4" t="inlineStr">
        <is>
          <t>Horas de indexación al año (CPU)</t>
        </is>
      </c>
      <c r="B44" s="62">
        <f>B37*B40/4.5/3600</f>
        <v/>
      </c>
      <c r="C44" s="62">
        <f>C37*C40/4.5/3600</f>
        <v/>
      </c>
      <c r="D44" s="7" t="inlineStr">
        <is>
          <t>A 4,5 prod/s. Es lo que costaría hacerlo en el ECS de producción.</t>
        </is>
      </c>
    </row>
    <row r="45" ht="28" customHeight="1">
      <c r="A45" s="4" t="inlineStr">
        <is>
          <t>Coste de la ingesta al año</t>
        </is>
      </c>
      <c r="B45" s="63">
        <f>$B$32</f>
        <v/>
      </c>
      <c r="C45" s="63">
        <f>$B$32*2</f>
        <v/>
      </c>
      <c r="D45" s="7" t="inlineStr">
        <is>
          <t>Opción C: ECS con GPU por horas. El tráfico de entrada es gratis.</t>
        </is>
      </c>
    </row>
    <row r="47">
      <c r="A47" s="43" t="inlineStr">
        <is>
          <t>Tres conclusiones</t>
        </is>
      </c>
    </row>
    <row r="48" ht="46" customHeight="1">
      <c r="A48" s="19" t="inlineStr">
        <is>
          <t>1. La ingesta NO es un problema de almacenamiento ni de red: es un problema de CPU una vez por trimestre. Se descargan 2 GB y se retienen 66 MB (el 3 %); el tráfico de entrada no se cobra. Lo caro es convertir 29.054 productos en vectores: 15-30 min con GPU, 2-3 horas sin ella.</t>
        </is>
      </c>
    </row>
    <row r="49" ht="46" customHeight="1">
      <c r="A49" s="19" t="inlineStr">
        <is>
          <t>2. El plan original sobreestimaba esta tarea. PLAN-MVP-v2 §10 la llamaba 'la tarea con más varianza del plan (~9 GB de descarga)' y recomendaba arrancarla el día 1. La medición real: 2,0 GB y 10 minutos y medio de principio a fin. El riesgo estaba en otro sitio.</t>
        </is>
      </c>
    </row>
    <row r="50" ht="46" customHeight="1">
      <c r="A50" s="19" t="inlineStr">
        <is>
          <t>3. Hoy la ingesta vive en un portátil con GPU. Para el CDR está bien y no hay que tocarlo, pero es la única pieza del sistema que no está en la nube ni es reproducible por otra persona. La salida barata es un ECS con GPU encendido una hora por trimestre: unos US$ 8 al año.</t>
        </is>
      </c>
    </row>
  </sheetData>
  <mergeCells count="3">
    <mergeCell ref="A49:E49"/>
    <mergeCell ref="A50:E50"/>
    <mergeCell ref="A48:E48"/>
  </mergeCells>
  <pageMargins left="0.75" right="0.75" top="1" bottom="1" header="0.5" footer="0.5"/>
</worksheet>
</file>

<file path=xl/worksheets/sheet10.xml><?xml version="1.0" encoding="utf-8"?>
<worksheet xmlns="http://schemas.openxmlformats.org/spreadsheetml/2006/main">
  <sheetPr>
    <tabColor rgb="007030A0"/>
    <outlinePr summaryBelow="1" summaryRight="1"/>
    <pageSetUpPr/>
  </sheetPr>
  <dimension ref="A1:E18"/>
  <sheetViews>
    <sheetView showGridLines="0" workbookViewId="0">
      <selection activeCell="A1" sqref="A1"/>
    </sheetView>
  </sheetViews>
  <sheetFormatPr baseColWidth="8" defaultRowHeight="15"/>
  <cols>
    <col width="34" customWidth="1" min="1" max="1"/>
    <col width="20" customWidth="1" min="2" max="2"/>
    <col width="20" customWidth="1" min="3" max="3"/>
    <col width="22" customWidth="1" min="4" max="4"/>
    <col width="70" customWidth="1" min="5" max="5"/>
  </cols>
  <sheetData>
    <row r="1">
      <c r="A1" s="1" t="inlineStr">
        <is>
          <t>Escenarios de uso</t>
        </is>
      </c>
    </row>
    <row r="2">
      <c r="A2" s="2" t="inlineStr">
        <is>
          <t>Mismo diseño, tres regímenes de operación</t>
        </is>
      </c>
    </row>
    <row r="4" ht="30" customHeight="1">
      <c r="A4" s="3" t="inlineStr">
        <is>
          <t>Concepto</t>
        </is>
      </c>
      <c r="B4" s="3" t="inlineStr">
        <is>
          <t>A · Demo y ensayos</t>
        </is>
      </c>
      <c r="C4" s="3" t="inlineStr">
        <is>
          <t>B · MVP 24×7</t>
        </is>
      </c>
      <c r="D4" s="3" t="inlineStr">
        <is>
          <t>C · Producción CITE</t>
        </is>
      </c>
      <c r="E4" s="3" t="inlineStr">
        <is>
          <t>Qué cambia</t>
        </is>
      </c>
    </row>
    <row r="5" ht="28" customHeight="1">
      <c r="A5" s="8" t="inlineStr">
        <is>
          <t>Infraestructura Huawei</t>
        </is>
      </c>
      <c r="B5" s="5">
        <f>Detalle!$K$30-(Detalle!$K$5+Detalle!$K$8)*(1-Parametros!$B$7/Parametros!$B$6)</f>
        <v/>
      </c>
      <c r="C5" s="5">
        <f>Detalle!$K$30</f>
        <v/>
      </c>
      <c r="D5" s="5">
        <f>Produccion!$K$31</f>
        <v/>
      </c>
      <c r="E5" s="7" t="inlineStr">
        <is>
          <t>A: ECS y RDS encendidos solo 80 h/mes; el almacenamiento se paga igual. C: hoja 'Produccion', costeada línea por línea (no es un multiplicador).</t>
        </is>
      </c>
    </row>
    <row r="6" ht="28" customHeight="1">
      <c r="A6" s="8" t="inlineStr">
        <is>
          <t>LLM (ModelArts MaaS)</t>
        </is>
      </c>
      <c r="B6" s="5">
        <f>'LLM-MaaS'!$B$5*Usuarios!$B$16</f>
        <v/>
      </c>
      <c r="C6" s="5">
        <f>'LLM-MaaS'!$B$11</f>
        <v/>
      </c>
      <c r="D6" s="5">
        <f>('LLM-MaaS'!$B$5*Usuarios!$D$16+'LLM-MaaS'!$B$6*Usuarios!$D$17)*(1-'LLM-MaaS'!$B$9)</f>
        <v/>
      </c>
      <c r="E6" s="7" t="inlineStr">
        <is>
          <t>Volúmenes definidos en la hoja 'Usuarios'. C: 500 premium + 2.000 gratuitos, con el ahorro de cache.</t>
        </is>
      </c>
    </row>
    <row r="7" ht="28" customHeight="1">
      <c r="A7" s="8" t="inlineStr">
        <is>
          <t>Subtotal mensual (US$)</t>
        </is>
      </c>
      <c r="B7" s="5">
        <f>B5+B6</f>
        <v/>
      </c>
      <c r="C7" s="5">
        <f>C5+C6</f>
        <v/>
      </c>
      <c r="D7" s="5">
        <f>D5+D6</f>
        <v/>
      </c>
      <c r="E7" s="7" t="inlineStr"/>
    </row>
    <row r="8" ht="28" customHeight="1">
      <c r="A8" s="8" t="inlineStr">
        <is>
          <t>Impuestos</t>
        </is>
      </c>
      <c r="B8" s="5">
        <f>B7*Parametros!$B$9</f>
        <v/>
      </c>
      <c r="C8" s="5">
        <f>C7*Parametros!$B$9</f>
        <v/>
      </c>
      <c r="D8" s="5">
        <f>D7*Parametros!$B$9</f>
        <v/>
      </c>
      <c r="E8" s="7" t="inlineStr">
        <is>
          <t>0 % si se factura directo con Huawei Cloud International.</t>
        </is>
      </c>
    </row>
    <row r="9" ht="28" customHeight="1">
      <c r="A9" s="8" t="inlineStr">
        <is>
          <t>TOTAL MENSUAL (US$)</t>
        </is>
      </c>
      <c r="B9" s="64">
        <f>B7+B8</f>
        <v/>
      </c>
      <c r="C9" s="64">
        <f>C7+C8</f>
        <v/>
      </c>
      <c r="D9" s="64">
        <f>D7+D8</f>
        <v/>
      </c>
      <c r="E9" s="7" t="inlineStr"/>
    </row>
    <row r="10" ht="28" customHeight="1">
      <c r="A10" s="8" t="inlineStr">
        <is>
          <t>TOTAL MENSUAL (S/)</t>
        </is>
      </c>
      <c r="B10" s="65">
        <f>B9*Parametros!$B$8</f>
        <v/>
      </c>
      <c r="C10" s="65">
        <f>C9*Parametros!$B$8</f>
        <v/>
      </c>
      <c r="D10" s="65">
        <f>D9*Parametros!$B$8</f>
        <v/>
      </c>
      <c r="E10" s="7" t="inlineStr">
        <is>
          <t>Al tipo de cambio de la hoja 'Parámetros'.</t>
        </is>
      </c>
    </row>
    <row r="11" ht="28" customHeight="1">
      <c r="A11" s="8" t="inlineStr">
        <is>
          <t>TOTAL ANUAL (US$)</t>
        </is>
      </c>
      <c r="B11" s="64">
        <f>B9*12</f>
        <v/>
      </c>
      <c r="C11" s="64">
        <f>C9*12</f>
        <v/>
      </c>
      <c r="D11" s="64">
        <f>D9*12</f>
        <v/>
      </c>
      <c r="E11" s="7" t="inlineStr">
        <is>
          <t>Sin descuento por compromiso.</t>
        </is>
      </c>
    </row>
    <row r="12" ht="28" customHeight="1">
      <c r="A12" s="8" t="inlineStr">
        <is>
          <t>TOTAL ANUAL con compromiso (US$)</t>
        </is>
      </c>
      <c r="B12" s="64">
        <f>B9*12*(1-Parametros!$B$10)</f>
        <v/>
      </c>
      <c r="C12" s="64">
        <f>C9*12*(1-Parametros!$B$10)</f>
        <v/>
      </c>
      <c r="D12" s="64">
        <f>D9*12*(1-Parametros!$B$10)</f>
        <v/>
      </c>
      <c r="E12" s="7" t="inlineStr">
        <is>
          <t>El descuento aplica a ECS y RDS prepagados. Aproximación conservadora: se aplica al total.</t>
        </is>
      </c>
    </row>
    <row r="14">
      <c r="A14" s="18" t="inlineStr">
        <is>
          <t>Cuándo aplica cada escenario</t>
        </is>
      </c>
    </row>
    <row r="15" ht="30" customHeight="1">
      <c r="A15" s="19" t="inlineStr">
        <is>
          <t>A · Demo y ensayos — hasta el CDR del 28 de agosto. Encender ECS y RDS solo para ensayar y presentar. Es el escenario correcto para las próximas cuatro semanas y el más barato con diferencia.</t>
        </is>
      </c>
    </row>
    <row r="16" ht="30" customHeight="1">
      <c r="A16" s="19" t="inlineStr">
        <is>
          <t>B · MVP 24×7 — el CITE empieza a usarlo de verdad y el servicio debe estar disponible. Es la arquitectura de INFRA-HUAWEI-CLOUD.md tal cual.</t>
        </is>
      </c>
    </row>
    <row r="17" ht="30" customHeight="1">
      <c r="A17" s="19" t="inlineStr">
        <is>
          <t>C · Producción CITE — tras la firma: fase 2 del ADR-003 (100-300 organizaciones). Base en alta disponibilidad, dos nodos de API con balanceador, NAT Gateway para el agente, CDN y WAF. Está costeado línea por línea en la hoja 'Produccion', con las palancas de recorte y lo que cuesta cada una.</t>
        </is>
      </c>
    </row>
    <row r="18" ht="30" customHeight="1">
      <c r="A18" s="19" t="inlineStr">
        <is>
          <t>ATENCIÓN: el ADR-003 estimaba 'US$ 200-400/mes en fases 2-3' y el detalle de la hoja 'Produccion' sale por encima. La diferencia está casi entera en tres líneas que el ADR no costeó: RDS en alta disponibilidad, WAF y NAT Gateway. Conviene corregir esa cifra en el ADR antes de que el CITE la lea como compromiso.</t>
        </is>
      </c>
    </row>
  </sheetData>
  <mergeCells count="4">
    <mergeCell ref="A16:E16"/>
    <mergeCell ref="A15:E15"/>
    <mergeCell ref="A17:E17"/>
    <mergeCell ref="A18:E18"/>
  </mergeCells>
  <pageMargins left="0.75" right="0.75" top="1" bottom="1" header="0.5" footer="0.5"/>
</worksheet>
</file>

<file path=xl/worksheets/sheet11.xml><?xml version="1.0" encoding="utf-8"?>
<worksheet xmlns="http://schemas.openxmlformats.org/spreadsheetml/2006/main">
  <sheetPr>
    <tabColor rgb="00808080"/>
    <outlinePr summaryBelow="1" summaryRight="1"/>
    <pageSetUpPr/>
  </sheetPr>
  <dimension ref="A1:C19"/>
  <sheetViews>
    <sheetView showGridLines="0" workbookViewId="0">
      <selection activeCell="A1" sqref="A1"/>
    </sheetView>
  </sheetViews>
  <sheetFormatPr baseColWidth="8" defaultRowHeight="15"/>
  <cols>
    <col width="26" customWidth="1" min="1" max="1"/>
    <col width="40" customWidth="1" min="2" max="2"/>
    <col width="88" customWidth="1" min="3" max="3"/>
  </cols>
  <sheetData>
    <row r="1">
      <c r="A1" s="1" t="inlineStr">
        <is>
          <t>Supuestos, fuentes y verificación</t>
        </is>
      </c>
    </row>
    <row r="2">
      <c r="A2" s="2" t="inlineStr">
        <is>
          <t>Cada estimación, de dónde sale y cómo comprobarla</t>
        </is>
      </c>
    </row>
    <row r="4" ht="30" customHeight="1">
      <c r="A4" s="3" t="inlineStr">
        <is>
          <t>Tema</t>
        </is>
      </c>
      <c r="B4" s="3" t="inlineStr">
        <is>
          <t>Supuesto adoptado</t>
        </is>
      </c>
      <c r="C4" s="3" t="inlineStr">
        <is>
          <t>Justificación / cómo verificarlo</t>
        </is>
      </c>
    </row>
    <row r="5" ht="46" customHeight="1">
      <c r="A5" s="57" t="inlineStr">
        <is>
          <t>Origen de los precios</t>
        </is>
      </c>
      <c r="B5" s="21" t="inlineStr">
        <is>
          <t>Estimaciones propias con rango mín/esperado/máx</t>
        </is>
      </c>
      <c r="C5" s="21" t="inlineStr">
        <is>
          <t>Huawei Cloud no publica lista de precios en HTML: solo el calculador (www.huaweicloud.com/intl/en-us/pricing/calculator.html), que es una aplicación JavaScript y no es citable ni automatizable. Se verificó también la página de precios de ECS y el PDF de facturación: explican los modos de cobro, no las tarifas. Por eso el libro trata el precio como ENTRADA.</t>
        </is>
      </c>
    </row>
    <row r="6" ht="46" customHeight="1">
      <c r="A6" s="57" t="inlineStr">
        <is>
          <t>Región</t>
        </is>
      </c>
      <c r="B6" s="21" t="inlineStr">
        <is>
          <t>LA-Santiago</t>
        </is>
      </c>
      <c r="C6" s="21" t="inlineStr">
        <is>
          <t>Es la región de Huawei Cloud más cercana a Perú (~40-60 ms desde Lima). Con la base de datos dentro de la VPC, el RTT a Postgres baja a menos de 2 ms. Exige cuenta Huawei Cloud INTERNATIONAL.</t>
        </is>
      </c>
    </row>
    <row r="7" ht="46" customHeight="1">
      <c r="A7" s="57" t="inlineStr">
        <is>
          <t>Tamaño del ECS</t>
        </is>
      </c>
      <c r="B7" s="21" t="inlineStr">
        <is>
          <t>4 vCPU / 8 GB</t>
        </is>
      </c>
      <c r="C7" s="21" t="inlineStr">
        <is>
          <t>Lo fija bge-m3: ~2,3 GB residentes en RAM (documentado en adaptadores/modelo_embeddings.py); con PyTorch el proceso queda en 3,5-4,5 GB. Con 4 GB no arranca en condiciones. Sin GPU: el gate P03 se midió en CPU con p95 de 176 ms contra un techo de 2 s.</t>
        </is>
      </c>
    </row>
    <row r="8" ht="46" customHeight="1">
      <c r="A8" s="57" t="inlineStr">
        <is>
          <t>Tamaño del RDS</t>
        </is>
      </c>
      <c r="B8" s="21" t="inlineStr">
        <is>
          <t>2 vCPU / 4 GB, nodo único, 40 GB</t>
        </is>
      </c>
      <c r="C8" s="21" t="inlineStr">
        <is>
          <t>El estado de aplicación son kilobytes: ejecuciones, etapas, perfiles y el cache de respuestas LLM. 40 GB es el mínimo que admite el servicio. La alta disponibilidad primario/en espera duplica el importe y se difiere a producción.</t>
        </is>
      </c>
    </row>
    <row r="9" ht="46" customHeight="1">
      <c r="A9" s="57" t="inlineStr">
        <is>
          <t>Almacenamiento de datos</t>
        </is>
      </c>
      <c r="B9" s="21" t="inlineStr">
        <is>
          <t>EVS 100 GB</t>
        </is>
      </c>
      <c r="C9" s="21" t="inlineStr">
        <is>
          <t>Medido en el repositorio: índice LanceDB 135 MB, snapshot 66 MB, PDFs 5,3 MB. Los 100 GB son margen para el snapshot siguiente, logs y PDFs acumulados.</t>
        </is>
      </c>
    </row>
    <row r="10" ht="46" customHeight="1">
      <c r="A10" s="57" t="inlineStr">
        <is>
          <t>Tráfico saliente</t>
        </is>
      </c>
      <c r="B10" s="21" t="inlineStr">
        <is>
          <t>30 GB al mes</t>
        </is>
      </c>
      <c r="C10" s="21" t="inlineStr">
        <is>
          <t>La SPA compilada pesa 173 KB y un informe PDF ~200 KB. 30 GB es holgado para demo y piloto; conviene revisarlo si el CITE publica el acceso a sus asociados.</t>
        </is>
      </c>
    </row>
    <row r="11" ht="46" customHeight="1">
      <c r="A11" s="57" t="inlineStr">
        <is>
          <t>Horas de facturación</t>
        </is>
      </c>
      <c r="B11" s="21" t="inlineStr">
        <is>
          <t>730 h/mes (24×7) · 80 h/mes en demo</t>
        </is>
      </c>
      <c r="C11" s="21" t="inlineStr">
        <is>
          <t>730 = 365×24/12, la convención de facturación. El escenario de demo supone encender ECS y RDS solo para ensayos: el almacenamiento, la EIP y los backups se pagan igual.</t>
        </is>
      </c>
    </row>
    <row r="12" ht="46" customHeight="1">
      <c r="A12" s="57" t="inlineStr">
        <is>
          <t>Descuento por compromiso</t>
        </is>
      </c>
      <c r="B12" s="21" t="inlineStr">
        <is>
          <t>35 %</t>
        </is>
      </c>
      <c r="C12" s="21" t="inlineStr">
        <is>
          <t>Rango habitual del prepago anual (30-40 %) en ECS y RDS. VERIFICAR en el calculador cambiando el modo de facturación a Yearly/Monthly, y ajustar el parámetro.</t>
        </is>
      </c>
    </row>
    <row r="13" ht="46" customHeight="1">
      <c r="A13" s="57" t="inlineStr">
        <is>
          <t>Impuestos</t>
        </is>
      </c>
      <c r="B13" s="21" t="inlineStr">
        <is>
          <t>0 %</t>
        </is>
      </c>
      <c r="C13" s="21" t="inlineStr">
        <is>
          <t>Se asume facturación directa con Huawei Cloud International. Si se contrata a través de un socio peruano, poner 18 % de IGV en 'Parámetros' y todo el libro lo recoge.</t>
        </is>
      </c>
    </row>
    <row r="14" ht="46" customHeight="1">
      <c r="A14" s="57" t="inlineStr">
        <is>
          <t>Coste del LLM</t>
        </is>
      </c>
      <c r="B14" s="21" t="inlineStr">
        <is>
          <t>US$ 0,21 por run premium</t>
        </is>
      </c>
      <c r="C14" s="21" t="inlineStr">
        <is>
          <t>DATO MEDIDO el 2026-08-02 y anotado en .env.example: entre 0,19 y 0,23 por run en frío, con tres de las cinco etapas sobre glm-5.2. Es el único bloque del presupuesto que no es estimación.</t>
        </is>
      </c>
    </row>
    <row r="15" ht="46" customHeight="1">
      <c r="A15" s="57" t="inlineStr">
        <is>
          <t>Ahorro por cache</t>
        </is>
      </c>
      <c r="B15" s="21" t="inlineStr">
        <is>
          <t>30 %</t>
        </is>
      </c>
      <c r="C15" s="21" t="inlineStr">
        <is>
          <t>El envoltorio etapa() cachea por (entrada, modelo, etapa, snapshot_version). En una demo con consultas repetidas el ahorro real es mayor; 30 % es conservador para uso mixto.</t>
        </is>
      </c>
    </row>
    <row r="16" ht="46" customHeight="1">
      <c r="A16" s="57" t="inlineStr">
        <is>
          <t>Lo que NO está incluido</t>
        </is>
      </c>
      <c r="B16" s="21" t="inlineStr">
        <is>
          <t>Dominio, desarrollo, soporte de pago</t>
        </is>
      </c>
      <c r="C16" s="21" t="inlineStr">
        <is>
          <t>El plan de soporte Basic de Huawei es gratuito. El registro del dominio, las horas de implantación y cualquier licencia de terceros van fuera de este presupuesto.</t>
        </is>
      </c>
    </row>
    <row r="17" ht="46" customHeight="1">
      <c r="A17" s="57" t="inlineStr">
        <is>
          <t>Escenario de producción</t>
        </is>
      </c>
      <c r="B17" s="21" t="inlineStr">
        <is>
          <t>Fase 2 del ADR-003, costeada línea por línea</t>
        </is>
      </c>
      <c r="C17" s="21" t="inlineStr">
        <is>
          <t>La hoja 'Produccion' NO usa un multiplicador: son 18 líneas con su cantidad y su precio. Supone 100-300 organizaciones, 2 réplicas de API con balanceador, RDS en alta disponibilidad, NAT Gateway para el agente de la fase F4, CDN y WAF. Las líneas de réplica de lectura y soporte de pago están con cantidad 0: se activan poniendo 1.</t>
        </is>
      </c>
    </row>
    <row r="18" ht="46" customHeight="1">
      <c r="A18" s="57" t="inlineStr">
        <is>
          <t>Discrepancia con el ADR-003</t>
        </is>
      </c>
      <c r="B18" s="21" t="inlineStr">
        <is>
          <t>El ADR estima US$ 200-400/mes; el detalle sale por encima</t>
        </is>
      </c>
      <c r="C18" s="21" t="inlineStr">
        <is>
          <t>Las tres líneas que el ADR no costeó son RDS en alta disponibilidad (duplica la base), WAF y NAT Gateway. Con las palancas de recorte de la hoja 'Produccion' se puede volver al rango del ADR, pero renunciando a cosas concretas. Conviene corregir la cifra del ADR antes de que el CITE la lea como compromiso.</t>
        </is>
      </c>
    </row>
    <row r="19" ht="46" customHeight="1">
      <c r="A19" s="57" t="inlineStr">
        <is>
          <t>Riesgo de subestimación</t>
        </is>
      </c>
      <c r="B19" s="21" t="inlineStr">
        <is>
          <t>Peticiones de OBS y logs de LTS</t>
        </is>
      </c>
      <c r="C19" s="21" t="inlineStr">
        <is>
          <t>Son las dos líneas con confianza BAJA. En volúmenes de demo son céntimos; con uso real conviene medir un mes antes de comprometer una cifra anual.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2026-08-03T17:27:53Z</dcterms:created>
  <dcterms:modified xsi:type="dcterms:W3CDTF">2026-08-03T17:27:53Z</dcterms:modified>
</cp:coreProperties>
</file>