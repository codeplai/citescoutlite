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eeme" sheetId="2" state="visible" r:id="rId2"/>
    <sheet name="Parametros" sheetId="3" state="visible" r:id="rId3"/>
    <sheet name="Detalle" sheetId="4" state="visible" r:id="rId4"/>
    <sheet name="LLM-MaaS" sheetId="5" state="visible" r:id="rId5"/>
    <sheet name="Produccion" sheetId="6" state="visible" r:id="rId6"/>
    <sheet name="Usuarios" sheetId="7" state="visible" r:id="rId7"/>
    <sheet name="Escenarios" sheetId="8" state="visible" r:id="rId8"/>
    <sheet name="Supuest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US$&quot;#,##0.00"/>
    <numFmt numFmtId="165" formatCode="&quot;S/&quot;#,##0.00"/>
    <numFmt numFmtId="166" formatCode="&quot;US$&quot;#,##0"/>
  </numFmts>
  <fonts count="15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i val="1"/>
      <color rgb="00595959"/>
      <sz val="11"/>
    </font>
    <font>
      <name val="Calibri"/>
      <sz val="10"/>
    </font>
    <font>
      <name val="Calibri"/>
      <b val="1"/>
      <color rgb="001F3864"/>
      <sz val="11"/>
    </font>
    <font>
      <name val="Calibri"/>
      <b val="1"/>
      <color rgb="00FFFFFF"/>
      <sz val="10"/>
    </font>
    <font>
      <name val="Calibri"/>
      <b val="1"/>
      <sz val="10"/>
    </font>
    <font>
      <b val="1"/>
      <color rgb="001F3864"/>
      <sz val="11"/>
    </font>
    <font>
      <b val="1"/>
      <sz val="11"/>
    </font>
    <font>
      <name val="Calibri"/>
      <color rgb="00595959"/>
      <sz val="9"/>
    </font>
    <font>
      <b val="1"/>
      <color rgb="001F3864"/>
      <sz val="10"/>
    </font>
    <font>
      <b val="1"/>
      <color rgb="00C00000"/>
      <sz val="12"/>
    </font>
    <font>
      <b val="1"/>
      <color rgb="00C00000"/>
      <sz val="11"/>
    </font>
    <font>
      <b val="1"/>
      <color rgb="001F3864"/>
      <sz val="12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6" fillId="0" borderId="1" pivotButton="0" quotePrefix="0" xfId="0"/>
    <xf numFmtId="0" fontId="9" fillId="0" borderId="1" applyAlignment="1" pivotButton="0" quotePrefix="0" xfId="0">
      <alignment vertical="top" wrapText="1"/>
    </xf>
    <xf numFmtId="0" fontId="6" fillId="0" borderId="1" pivotButton="0" quotePrefix="0" xfId="0"/>
    <xf numFmtId="164" fontId="6" fillId="5" borderId="1" pivotButton="0" quotePrefix="0" xfId="0"/>
    <xf numFmtId="164" fontId="0" fillId="0" borderId="1" pivotButton="0" quotePrefix="0" xfId="0"/>
    <xf numFmtId="0" fontId="9" fillId="0" borderId="0" pivotButton="0" quotePrefix="0" xfId="0"/>
    <xf numFmtId="0" fontId="13" fillId="0" borderId="0" pivotButton="0" quotePrefix="0" xfId="0"/>
    <xf numFmtId="164" fontId="14" fillId="6" borderId="1" pivotButton="0" quotePrefix="0" xfId="0"/>
    <xf numFmtId="0" fontId="6" fillId="0" borderId="0" pivotButton="0" quotePrefix="0" xfId="0"/>
    <xf numFmtId="165" fontId="6" fillId="0" borderId="1" pivotButton="0" quotePrefix="0" xfId="0"/>
    <xf numFmtId="166" fontId="6" fillId="0" borderId="1" pivotButton="0" quotePrefix="0" xfId="0"/>
    <xf numFmtId="166" fontId="6" fillId="6" borderId="1" pivotButton="0" quotePrefix="0" xfId="0"/>
    <xf numFmtId="0" fontId="7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3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/>
    </xf>
    <xf numFmtId="4" fontId="6" fillId="4" borderId="1" applyAlignment="1" pivotButton="0" quotePrefix="0" xfId="0">
      <alignment horizontal="center"/>
    </xf>
    <xf numFmtId="9" fontId="6" fillId="4" borderId="1" applyAlignment="1" pivotButton="0" quotePrefix="0" xfId="0">
      <alignment horizontal="center"/>
    </xf>
    <xf numFmtId="0" fontId="3" fillId="2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horizontal="center" vertical="top"/>
    </xf>
    <xf numFmtId="164" fontId="3" fillId="4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6" fillId="0" borderId="1" applyAlignment="1" pivotButton="0" quotePrefix="0" xfId="0">
      <alignment vertical="top"/>
    </xf>
    <xf numFmtId="164" fontId="8" fillId="6" borderId="1" pivotButton="0" quotePrefix="0" xfId="0"/>
    <xf numFmtId="164" fontId="6" fillId="7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3" fontId="6" fillId="4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0" fontId="10" fillId="0" borderId="1" pivotButton="0" quotePrefix="0" xfId="0"/>
    <xf numFmtId="3" fontId="6" fillId="6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4" fontId="6" fillId="6" borderId="1" applyAlignment="1" pivotButton="0" quotePrefix="0" xfId="0">
      <alignment horizontal="center"/>
    </xf>
    <xf numFmtId="0" fontId="11" fillId="0" borderId="0" pivotButton="0" quotePrefix="0" xfId="0"/>
    <xf numFmtId="3" fontId="6" fillId="5" borderId="1" applyAlignment="1" pivotButton="0" quotePrefix="0" xfId="0">
      <alignment horizontal="center"/>
    </xf>
    <xf numFmtId="0" fontId="0" fillId="0" borderId="1" pivotButton="0" quotePrefix="0" xfId="0"/>
    <xf numFmtId="0" fontId="12" fillId="0" borderId="1" pivotButton="0" quotePrefix="0" xfId="0"/>
    <xf numFmtId="3" fontId="8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8" customWidth="1" min="3" max="3"/>
    <col width="16" customWidth="1" min="4" max="4"/>
    <col width="64" customWidth="1" min="5" max="5"/>
  </cols>
  <sheetData>
    <row r="1">
      <c r="A1" s="1" t="inlineStr">
        <is>
          <t>Resumen ejecutivo — presupuesto de infraestructura</t>
        </is>
      </c>
    </row>
    <row r="2">
      <c r="A2" s="2" t="inlineStr">
        <is>
          <t>AgroScout IA · CITEagroindustrial Chavimochic · Huawei Cloud LA-Santiago · 2026-08-02</t>
        </is>
      </c>
    </row>
    <row r="4" ht="30" customHeight="1">
      <c r="A4" s="3" t="inlineStr">
        <is>
          <t>Bloque</t>
        </is>
      </c>
      <c r="B4" s="3" t="inlineStr">
        <is>
          <t>Mínimo (US$)</t>
        </is>
      </c>
      <c r="C4" s="3" t="inlineStr">
        <is>
          <t>Esperado (US$)</t>
        </is>
      </c>
      <c r="D4" s="3" t="inlineStr">
        <is>
          <t>Máximo (US$)</t>
        </is>
      </c>
      <c r="E4" s="3" t="inlineStr">
        <is>
          <t>Comentario</t>
        </is>
      </c>
    </row>
    <row r="5" ht="28" customHeight="1">
      <c r="A5" s="4" t="inlineStr">
        <is>
          <t>Cómputo (ECS + disco de sistema)</t>
        </is>
      </c>
      <c r="B5" s="5">
        <f>Detalle!J24</f>
        <v/>
      </c>
      <c r="C5" s="6">
        <f>Detalle!K24</f>
        <v/>
      </c>
      <c r="D5" s="5">
        <f>Detalle!L24</f>
        <v/>
      </c>
      <c r="E5" s="7" t="inlineStr">
        <is>
          <t>1 instancia de 4 vCPU/8 GB. Los 8 GB los exige bge-m3, no el tráfico.</t>
        </is>
      </c>
    </row>
    <row r="6" ht="28" customHeight="1">
      <c r="A6" s="4" t="inlineStr">
        <is>
          <t>Base de datos (RDS PostgreSQL)</t>
        </is>
      </c>
      <c r="B6" s="5">
        <f>Detalle!J25</f>
        <v/>
      </c>
      <c r="C6" s="6">
        <f>Detalle!K25</f>
        <v/>
      </c>
      <c r="D6" s="5">
        <f>Detalle!L25</f>
        <v/>
      </c>
      <c r="E6" s="7" t="inlineStr">
        <is>
          <t>Nodo único, sin acceso público. La alta disponibilidad duplica esta línea.</t>
        </is>
      </c>
    </row>
    <row r="7" ht="28" customHeight="1">
      <c r="A7" s="4" t="inlineStr">
        <is>
          <t>Almacenamiento (EVS + OBS + CBR)</t>
        </is>
      </c>
      <c r="B7" s="5">
        <f>Detalle!J26</f>
        <v/>
      </c>
      <c r="C7" s="6">
        <f>Detalle!K26</f>
        <v/>
      </c>
      <c r="D7" s="5">
        <f>Detalle!L26</f>
        <v/>
      </c>
      <c r="E7" s="7" t="inlineStr">
        <is>
          <t>100 GB de datos, 20 GB en OBS y respaldo diario.</t>
        </is>
      </c>
    </row>
    <row r="8" ht="28" customHeight="1">
      <c r="A8" s="4" t="inlineStr">
        <is>
          <t>Red (EIP + tráfico)</t>
        </is>
      </c>
      <c r="B8" s="5">
        <f>Detalle!J27</f>
        <v/>
      </c>
      <c r="C8" s="6">
        <f>Detalle!K27</f>
        <v/>
      </c>
      <c r="D8" s="5">
        <f>Detalle!L27</f>
        <v/>
      </c>
      <c r="E8" s="7" t="inlineStr">
        <is>
          <t>Pago por tráfico: la demo mueve megabytes, no gigabytes.</t>
        </is>
      </c>
    </row>
    <row r="9" ht="28" customHeight="1">
      <c r="A9" s="4" t="inlineStr">
        <is>
          <t>Operación (LTS, CES, DNS, SCM)</t>
        </is>
      </c>
      <c r="B9" s="5">
        <f>Detalle!J28</f>
        <v/>
      </c>
      <c r="C9" s="6">
        <f>Detalle!K28</f>
        <v/>
      </c>
      <c r="D9" s="5">
        <f>Detalle!L28</f>
        <v/>
      </c>
      <c r="E9" s="7" t="inlineStr">
        <is>
          <t>Casi todo gratuito en estos volúmenes.</t>
        </is>
      </c>
    </row>
    <row r="10">
      <c r="A10" s="8" t="inlineStr">
        <is>
          <t>Subtotal infraestructura</t>
        </is>
      </c>
      <c r="B10" s="9">
        <f>Detalle!J30</f>
        <v/>
      </c>
      <c r="C10" s="9">
        <f>Detalle!K30</f>
        <v/>
      </c>
      <c r="D10" s="9">
        <f>Detalle!L30</f>
        <v/>
      </c>
    </row>
    <row r="11">
      <c r="A11" s="4" t="inlineStr">
        <is>
          <t>LLM · ModelArts MaaS</t>
        </is>
      </c>
      <c r="B11" s="10">
        <f>'LLM-MaaS'!$B$11</f>
        <v/>
      </c>
      <c r="C11" s="10">
        <f>'LLM-MaaS'!$B$11</f>
        <v/>
      </c>
      <c r="D11" s="10">
        <f>'LLM-MaaS'!$B$11</f>
        <v/>
      </c>
      <c r="E11" s="11" t="inlineStr">
        <is>
          <t>US$ 0,21 por run premium, MEDIDO. Acotado por el kill-switch de la aplicación.</t>
        </is>
      </c>
    </row>
    <row r="13">
      <c r="A13" s="12" t="inlineStr">
        <is>
          <t>TOTAL MENSUAL</t>
        </is>
      </c>
      <c r="B13" s="13">
        <f>Detalle!J30+'LLM-MaaS'!$B$11</f>
        <v/>
      </c>
      <c r="C13" s="13">
        <f>Detalle!K30+'LLM-MaaS'!$B$11</f>
        <v/>
      </c>
      <c r="D13" s="13">
        <f>Detalle!L30+'LLM-MaaS'!$B$11</f>
        <v/>
      </c>
    </row>
    <row r="14">
      <c r="A14" s="14" t="inlineStr">
        <is>
          <t>TOTAL MENSUAL (S/)</t>
        </is>
      </c>
      <c r="B14" s="15">
        <f>B13*Parametros!$B$8</f>
        <v/>
      </c>
      <c r="C14" s="15">
        <f>C13*Parametros!$B$8</f>
        <v/>
      </c>
      <c r="D14" s="15">
        <f>D13*Parametros!$B$8</f>
        <v/>
      </c>
    </row>
    <row r="15">
      <c r="A15" s="14" t="inlineStr">
        <is>
          <t>TOTAL ANUAL (US$)</t>
        </is>
      </c>
      <c r="B15" s="16">
        <f>B13*12</f>
        <v/>
      </c>
      <c r="C15" s="16">
        <f>C13*12</f>
        <v/>
      </c>
      <c r="D15" s="16">
        <f>D13*12</f>
        <v/>
      </c>
    </row>
    <row r="16">
      <c r="A16" s="14" t="inlineStr">
        <is>
          <t>TOTAL ANUAL con compromiso (US$)</t>
        </is>
      </c>
      <c r="B16" s="17">
        <f>B13*12*(1-Parametros!$B$10)</f>
        <v/>
      </c>
      <c r="C16" s="17">
        <f>C13*12*(1-Parametros!$B$10)</f>
        <v/>
      </c>
      <c r="D16" s="17">
        <f>D13*12*(1-Parametros!$B$10)</f>
        <v/>
      </c>
    </row>
    <row r="18">
      <c r="A18" s="18" t="inlineStr">
        <is>
          <t>Tres cosas que conviene decir al presentar este número</t>
        </is>
      </c>
    </row>
    <row r="19" ht="32" customHeight="1">
      <c r="A19" s="19" t="inlineStr">
        <is>
          <t>1. Los precios unitarios son ESTIMACIONES documentadas, no tarifas descargadas de la web de Huawei: la compañía solo las publica dentro de su calculador, que es JavaScript. La hoja 'Supuestos' dice cómo verificar cada una en minutos, y el libro se recalcula solo al cambiarlas.</t>
        </is>
      </c>
    </row>
    <row r="20" ht="32" customHeight="1">
      <c r="A20" s="19" t="inlineStr">
        <is>
          <t>2. El coste del LLM SÍ está medido en este proyecto (US$ 0,19-0,23 por consulta premium) y además está acotado por software: el kill-switch corta el gasto al llegar al tope sin devolver errores.</t>
        </is>
      </c>
    </row>
    <row r="21" ht="32" customHeight="1">
      <c r="A21" s="19" t="inlineStr">
        <is>
          <t>3. Hasta el CDR del 28 de agosto el escenario correcto es el A (encender solo para ensayos), que cuesta una fracción del 24×7. Pasar a B es una decisión de servicio, no de infraestructura.</t>
        </is>
      </c>
    </row>
  </sheetData>
  <mergeCells count="3">
    <mergeCell ref="A21:E21"/>
    <mergeCell ref="A20:E20"/>
    <mergeCell ref="A19:E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A1" s="1" t="inlineStr">
        <is>
          <t>Presupuesto de infraestructura — AgroScout IA en Huawei Cloud</t>
        </is>
      </c>
    </row>
    <row r="2">
      <c r="A2" s="2" t="inlineStr">
        <is>
          <t>CITEagroindustrial Chavimochic · elaborado 2026-08-02 · región LA-Santiago</t>
        </is>
      </c>
    </row>
    <row r="4" ht="15" customHeight="1">
      <c r="B4" s="19" t="inlineStr"/>
    </row>
    <row r="5">
      <c r="B5" s="20" t="inlineStr">
        <is>
          <t>ADVERTENCIA IMPORTANTE SOBRE LOS PRECIOS</t>
        </is>
      </c>
    </row>
    <row r="6" ht="42" customHeight="1">
      <c r="B6" s="19" t="inlineStr">
        <is>
          <t>Huawei Cloud NO publica una lista de precios en HTML: sus tarifas viven únicamente dentro del calculador (https://www.huaweicloud.com/intl/en-us/pricing/calculator.html), que es una aplicación JavaScript y no se puede leer de forma automática ni citar como fuente estable.</t>
        </is>
      </c>
    </row>
    <row r="7" ht="56" customHeight="1">
      <c r="B7" s="19" t="inlineStr">
        <is>
          <t>Por eso este libro NO afirma tener los precios oficiales. Lo que hace es mejor para un presupuesto que se va a presentar: cada precio unitario es una CELDA DE ENTRADA (fondo amarillo) con su estimación mín/esperado/máx documentada, y todo lo demás son fórmulas. En cuanto usted pegue los números del calculador, los totales, los escenarios y el resumen se recalculan solos.</t>
        </is>
      </c>
    </row>
    <row r="8" ht="28" customHeight="1">
      <c r="B8" s="19" t="inlineStr">
        <is>
          <t>La hoja 'Supuestos' explica de dónde sale cada estimación y cómo verificarla en el calculador, paso a paso y con los filtros exactos.</t>
        </is>
      </c>
    </row>
    <row r="9" ht="15" customHeight="1">
      <c r="B9" s="19" t="inlineStr"/>
    </row>
    <row r="10">
      <c r="B10" s="20" t="inlineStr">
        <is>
          <t>CÓDIGO DE COLORES</t>
        </is>
      </c>
    </row>
    <row r="11" ht="15" customHeight="1">
      <c r="B11" s="19" t="inlineStr">
        <is>
          <t>Amarillo  →  celda de entrada: usted la edita con el dato del calculador o del contrato.</t>
        </is>
      </c>
    </row>
    <row r="12" ht="15" customHeight="1">
      <c r="B12" s="19" t="inlineStr">
        <is>
          <t>Verde     →  dato MEDIDO en este proyecto, no estimado (p. ej. el coste por run del LLM).</t>
        </is>
      </c>
    </row>
    <row r="13" ht="15" customHeight="1">
      <c r="B13" s="19" t="inlineStr">
        <is>
          <t>Naranja   →  total calculado. No editar: son fórmulas.</t>
        </is>
      </c>
    </row>
    <row r="14" ht="15" customHeight="1">
      <c r="B14" s="19" t="inlineStr"/>
    </row>
    <row r="15">
      <c r="B15" s="20" t="inlineStr">
        <is>
          <t>CÓMO USAR ESTE LIBRO</t>
        </is>
      </c>
    </row>
    <row r="16" ht="15" customHeight="1">
      <c r="B16" s="19" t="inlineStr">
        <is>
          <t>1. Abra 'Parámetros' y ajuste horas/mes, tipo de cambio, impuestos y descuento por compromiso anual.</t>
        </is>
      </c>
    </row>
    <row r="17" ht="28" customHeight="1">
      <c r="B17" s="19" t="inlineStr">
        <is>
          <t>2. Vaya al calculador de Huawei con la región LA-Santiago y reemplace los precios unitarios de la hoja 'Detalle' (columnas G, H, I).</t>
        </is>
      </c>
    </row>
    <row r="18" ht="28" customHeight="1">
      <c r="B18" s="19" t="inlineStr">
        <is>
          <t>3. Revise 'LLM-MaaS': el coste por consulta ya está medido en el proyecto; solo defina el volumen mensual esperado.</t>
        </is>
      </c>
    </row>
    <row r="19" ht="15" customHeight="1">
      <c r="B19" s="19" t="inlineStr">
        <is>
          <t>4. Lea 'Escenarios' para comparar demo, piloto 24×7 y producción, y presente 'Resumen'.</t>
        </is>
      </c>
    </row>
    <row r="20" ht="15" customHeight="1">
      <c r="B20" s="19" t="inlineStr"/>
    </row>
    <row r="21">
      <c r="B21" s="20" t="inlineStr">
        <is>
          <t>QUÉ SE ESTÁ PRESUPUESTANDO</t>
        </is>
      </c>
    </row>
    <row r="22" ht="42" customHeight="1">
      <c r="B22" s="19" t="inlineStr">
        <is>
          <t>La arquitectura de INFRA-HUAWEI-CLOUD.md: 1 ECS de 4 vCPU/8 GB con la API, nginx y la SPA; RDS for PostgreSQL de nodo único en subred privada; EVS de 100 GB para el índice vectorial; OBS para PDFs, snapshot y pesos del modelo; EIP, CBR, LTS y CES. Más el consumo de LLM en ModelArts MaaS, que ya está contratado.</t>
        </is>
      </c>
    </row>
    <row r="23" ht="42" customHeight="1">
      <c r="B23" s="19" t="inlineStr">
        <is>
          <t>El dimensionado no lo fija el tráfico sino el modelo de embeddings bge-m3: ~2,3 GB residentes en RAM, que es lo que obliga a 8 GB en el ECS. La búsqueda no necesita GPU (p95 medido: 176 ms en CPU contra un techo de 2 s).</t>
        </is>
      </c>
    </row>
    <row r="24" ht="15" customHeight="1">
      <c r="B24" s="19" t="inlineStr"/>
    </row>
    <row r="25">
      <c r="B25" s="20" t="inlineStr">
        <is>
          <t>LO QUE ESTE PRESUPUESTO NO INCLUYE</t>
        </is>
      </c>
    </row>
    <row r="26" ht="42" customHeight="1">
      <c r="B26" s="19" t="inlineStr">
        <is>
          <t>Dominio y su renovación · horas de desarrollo e implantación · soporte de pago de Huawei (el plan Basic es gratuito) · licencias de terceros · impuestos locales si el contrato se firma con un socio peruano (parámetro editable en 'Parámetros').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8" customWidth="1" min="3" max="3"/>
    <col width="74" customWidth="1" min="4" max="4"/>
  </cols>
  <sheetData>
    <row r="1">
      <c r="A1" s="1" t="inlineStr">
        <is>
          <t>Parámetros del presupuesto</t>
        </is>
      </c>
    </row>
    <row r="2">
      <c r="A2" s="2" t="inlineStr">
        <is>
          <t>Cambie aquí y todo el libro se recalcula</t>
        </is>
      </c>
    </row>
    <row r="4" ht="30" customHeight="1">
      <c r="A4" s="3" t="inlineStr">
        <is>
          <t>Parámetro</t>
        </is>
      </c>
      <c r="B4" s="3" t="inlineStr">
        <is>
          <t>Valor</t>
        </is>
      </c>
      <c r="C4" s="3" t="inlineStr">
        <is>
          <t>Unidad</t>
        </is>
      </c>
      <c r="D4" s="3" t="inlineStr">
        <is>
          <t>Nota</t>
        </is>
      </c>
    </row>
    <row r="5" ht="30" customHeight="1">
      <c r="A5" s="21" t="inlineStr">
        <is>
          <t>Región</t>
        </is>
      </c>
      <c r="B5" s="22" t="inlineStr">
        <is>
          <t>LA-Santiago</t>
        </is>
      </c>
      <c r="C5" s="21" t="inlineStr">
        <is>
          <t>—</t>
        </is>
      </c>
      <c r="D5" s="21" t="inlineStr">
        <is>
          <t>La región de Huawei Cloud más cercana a Perú (~40-60 ms desde Lima). Requiere cuenta Huawei Cloud INTERNATIONAL, no la del sitio de China.</t>
        </is>
      </c>
    </row>
    <row r="6" ht="30" customHeight="1">
      <c r="A6" s="21" t="inlineStr">
        <is>
          <t>Horas por mes (24×7)</t>
        </is>
      </c>
      <c r="B6" s="22" t="n">
        <v>730</v>
      </c>
      <c r="C6" s="21" t="inlineStr">
        <is>
          <t>h</t>
        </is>
      </c>
      <c r="D6" s="21" t="inlineStr">
        <is>
          <t>Convención de facturación en la nube: 365×24/12 = 730.</t>
        </is>
      </c>
    </row>
    <row r="7" ht="30" customHeight="1">
      <c r="A7" s="21" t="inlineStr">
        <is>
          <t>Horas/mes escenario demo</t>
        </is>
      </c>
      <c r="B7" s="22" t="n">
        <v>80</v>
      </c>
      <c r="C7" s="21" t="inlineStr">
        <is>
          <t>h</t>
        </is>
      </c>
      <c r="D7" s="21" t="inlineStr">
        <is>
          <t>ECS y RDS encendidos solo para ensayos y la demo del CDR. El almacenamiento se paga igual.</t>
        </is>
      </c>
    </row>
    <row r="8" ht="30" customHeight="1">
      <c r="A8" s="21" t="inlineStr">
        <is>
          <t>Tipo de cambio USD → PEN</t>
        </is>
      </c>
      <c r="B8" s="23" t="n">
        <v>3.75</v>
      </c>
      <c r="C8" s="21" t="inlineStr">
        <is>
          <t>S/ por US$</t>
        </is>
      </c>
      <c r="D8" s="21" t="inlineStr">
        <is>
          <t>EDITAR con el tipo de cambio del día de la presentación.</t>
        </is>
      </c>
    </row>
    <row r="9" ht="30" customHeight="1">
      <c r="A9" s="21" t="inlineStr">
        <is>
          <t>Impuestos aplicables</t>
        </is>
      </c>
      <c r="B9" s="24" t="n">
        <v>0</v>
      </c>
      <c r="C9" s="21" t="inlineStr">
        <is>
          <t>%</t>
        </is>
      </c>
      <c r="D9" s="21" t="inlineStr">
        <is>
          <t>0 % si se factura directo con Huawei Cloud International. Si se contrata vía socio peruano, poner 18 % (IGV).</t>
        </is>
      </c>
    </row>
    <row r="10" ht="30" customHeight="1">
      <c r="A10" s="21" t="inlineStr">
        <is>
          <t>Descuento por compromiso anual</t>
        </is>
      </c>
      <c r="B10" s="24" t="n">
        <v>0.35</v>
      </c>
      <c r="C10" s="21" t="inlineStr">
        <is>
          <t>%</t>
        </is>
      </c>
      <c r="D10" s="21" t="inlineStr">
        <is>
          <t>Prepago anual de ECS y RDS. VERIFICAR el descuento real en el calculador; 30-40 % es lo habitual.</t>
        </is>
      </c>
    </row>
    <row r="11" ht="30" customHeight="1">
      <c r="A11" s="21" t="inlineStr">
        <is>
          <t>Runs premium por mes</t>
        </is>
      </c>
      <c r="B11" s="22" t="n">
        <v>100</v>
      </c>
      <c r="C11" s="21" t="inlineStr">
        <is>
          <t>runs</t>
        </is>
      </c>
      <c r="D11" s="21" t="inlineStr">
        <is>
          <t>Consultas completas (5 etapas LLM). Ver hoja LLM-MaaS.</t>
        </is>
      </c>
    </row>
    <row r="12" ht="30" customHeight="1">
      <c r="A12" s="21" t="inlineStr">
        <is>
          <t>Tráfico saliente mensual</t>
        </is>
      </c>
      <c r="B12" s="22" t="n">
        <v>30</v>
      </c>
      <c r="C12" s="21" t="inlineStr">
        <is>
          <t>GB</t>
        </is>
      </c>
      <c r="D12" s="21" t="inlineStr">
        <is>
          <t>SPA (173 KB), PDFs (~200 KB c/u) y API. Estimación conservadora para uso de demo y piloto.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N3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2" customWidth="1" min="4" max="4"/>
    <col width="7" customWidth="1" min="5" max="5"/>
    <col width="10" customWidth="1" min="6" max="6"/>
    <col width="10" customWidth="1" min="7" max="7"/>
    <col width="12" customWidth="1" min="8" max="8"/>
    <col width="10" customWidth="1" min="9" max="9"/>
    <col width="11" customWidth="1" min="10" max="10"/>
    <col width="14" customWidth="1" min="11" max="11"/>
    <col width="11" customWidth="1" min="12" max="12"/>
    <col width="12" customWidth="1" min="13" max="13"/>
    <col width="56" customWidth="1" min="14" max="14"/>
  </cols>
  <sheetData>
    <row r="1">
      <c r="A1" s="1" t="inlineStr">
        <is>
          <t>Detalle mensual de infraestructura — escenario MVP 24×7</t>
        </is>
      </c>
    </row>
    <row r="2">
      <c r="A2" s="2" t="inlineStr">
        <is>
          <t>Columnas G, H, I = celdas de entrada (precio unitario). Todo lo demás son fórmulas.</t>
        </is>
      </c>
    </row>
    <row r="4" ht="30" customHeight="1">
      <c r="A4" s="3" t="inlineStr">
        <is>
          <t>Categoría</t>
        </is>
      </c>
      <c r="B4" s="3" t="inlineStr">
        <is>
          <t>Concepto</t>
        </is>
      </c>
      <c r="C4" s="3" t="inlineStr">
        <is>
          <t>Especificación</t>
        </is>
      </c>
      <c r="D4" s="3" t="inlineStr">
        <is>
          <t>Unidad</t>
        </is>
      </c>
      <c r="E4" s="3" t="inlineStr">
        <is>
          <t>Cant.</t>
        </is>
      </c>
      <c r="F4" s="3" t="inlineStr">
        <is>
          <t>Uso/mes</t>
        </is>
      </c>
      <c r="G4" s="3" t="inlineStr">
        <is>
          <t>P. mín</t>
        </is>
      </c>
      <c r="H4" s="3" t="inlineStr">
        <is>
          <t>P. esperado</t>
        </is>
      </c>
      <c r="I4" s="3" t="inlineStr">
        <is>
          <t>P. máx</t>
        </is>
      </c>
      <c r="J4" s="3" t="inlineStr">
        <is>
          <t>Coste mín</t>
        </is>
      </c>
      <c r="K4" s="3" t="inlineStr">
        <is>
          <t>Coste esperado</t>
        </is>
      </c>
      <c r="L4" s="3" t="inlineStr">
        <is>
          <t>Coste máx</t>
        </is>
      </c>
      <c r="M4" s="3" t="inlineStr">
        <is>
          <t>Confianza</t>
        </is>
      </c>
      <c r="N4" s="3" t="inlineStr">
        <is>
          <t>Cómo verificarlo en el calculador</t>
        </is>
      </c>
    </row>
    <row r="5" ht="30" customHeight="1">
      <c r="A5" s="25" t="inlineStr">
        <is>
          <t>Cómputo</t>
        </is>
      </c>
      <c r="B5" s="26" t="inlineStr">
        <is>
          <t>ECS s7n.xlarge.2</t>
        </is>
      </c>
      <c r="C5" s="21" t="inlineStr">
        <is>
          <t>4 vCPU · 8 GB RAM · Ubuntu 22.04</t>
        </is>
      </c>
      <c r="D5" s="27" t="inlineStr">
        <is>
          <t>US$/hora</t>
        </is>
      </c>
      <c r="E5" s="28" t="n">
        <v>1</v>
      </c>
      <c r="F5" s="28">
        <f>Parametros!$B$6</f>
        <v/>
      </c>
      <c r="G5" s="29" t="n">
        <v>0.096</v>
      </c>
      <c r="H5" s="29" t="n">
        <v>0.125</v>
      </c>
      <c r="I5" s="29" t="n">
        <v>0.15</v>
      </c>
      <c r="J5" s="30">
        <f>$E5*$F5*G5</f>
        <v/>
      </c>
      <c r="K5" s="31">
        <f>$E5*$F5*H5</f>
        <v/>
      </c>
      <c r="L5" s="30">
        <f>$E5*$F5*I5</f>
        <v/>
      </c>
      <c r="M5" s="28" t="inlineStr">
        <is>
          <t>Media</t>
        </is>
      </c>
      <c r="N5" s="21" t="inlineStr">
        <is>
          <t>Calculator → ECS → LA-Santiago → General computing-plus s7n → 4 vCPU/8 GB → Pay-per-use.</t>
        </is>
      </c>
    </row>
    <row r="6" ht="30" customHeight="1">
      <c r="A6" s="25" t="inlineStr">
        <is>
          <t>Cómputo</t>
        </is>
      </c>
      <c r="B6" s="26" t="inlineStr">
        <is>
          <t>Disco de sistema</t>
        </is>
      </c>
      <c r="C6" s="21" t="inlineStr">
        <is>
          <t>EVS SSD de propósito general, 40 GB</t>
        </is>
      </c>
      <c r="D6" s="27" t="inlineStr">
        <is>
          <t>US$/GB-mes</t>
        </is>
      </c>
      <c r="E6" s="28" t="n">
        <v>40</v>
      </c>
      <c r="F6" s="28" t="n">
        <v>1</v>
      </c>
      <c r="G6" s="29" t="n">
        <v>0.1</v>
      </c>
      <c r="H6" s="29" t="n">
        <v>0.12</v>
      </c>
      <c r="I6" s="29" t="n">
        <v>0.15</v>
      </c>
      <c r="J6" s="30">
        <f>$E6*$F6*G6</f>
        <v/>
      </c>
      <c r="K6" s="31">
        <f>$E6*$F6*H6</f>
        <v/>
      </c>
      <c r="L6" s="30">
        <f>$E6*$F6*I6</f>
        <v/>
      </c>
      <c r="M6" s="28" t="inlineStr">
        <is>
          <t>Media</t>
        </is>
      </c>
      <c r="N6" s="21" t="inlineStr">
        <is>
          <t>Calculator → EVS → General Purpose SSD → 40 GB. Se factura por GB-mes, no por uso.</t>
        </is>
      </c>
    </row>
    <row r="7" ht="30" customHeight="1">
      <c r="A7" s="25" t="inlineStr">
        <is>
          <t>Cómputo</t>
        </is>
      </c>
      <c r="B7" s="26" t="inlineStr">
        <is>
          <t>Imagen del SO</t>
        </is>
      </c>
      <c r="C7" s="21" t="inlineStr">
        <is>
          <t>Ubuntu 22.04 LTS (imagen pública)</t>
        </is>
      </c>
      <c r="D7" s="27" t="inlineStr">
        <is>
          <t>US$/mes</t>
        </is>
      </c>
      <c r="E7" s="28" t="n">
        <v>1</v>
      </c>
      <c r="F7" s="28" t="n">
        <v>1</v>
      </c>
      <c r="G7" s="29" t="n">
        <v>0</v>
      </c>
      <c r="H7" s="29" t="n">
        <v>0</v>
      </c>
      <c r="I7" s="29" t="n">
        <v>0</v>
      </c>
      <c r="J7" s="30">
        <f>$E7*$F7*G7</f>
        <v/>
      </c>
      <c r="K7" s="31">
        <f>$E7*$F7*H7</f>
        <v/>
      </c>
      <c r="L7" s="30">
        <f>$E7*$F7*I7</f>
        <v/>
      </c>
      <c r="M7" s="28" t="inlineStr">
        <is>
          <t>Alta</t>
        </is>
      </c>
      <c r="N7" s="21" t="inlineStr">
        <is>
          <t>Las imágenes públicas no tienen coste de licencia.</t>
        </is>
      </c>
    </row>
    <row r="8" ht="30" customHeight="1">
      <c r="A8" s="25" t="inlineStr">
        <is>
          <t>Base de datos</t>
        </is>
      </c>
      <c r="B8" s="26" t="inlineStr">
        <is>
          <t>RDS PostgreSQL 16</t>
        </is>
      </c>
      <c r="C8" s="21" t="inlineStr">
        <is>
          <t>rds.pg.n1.large.2 · 2 vCPU/4 GB · nodo único</t>
        </is>
      </c>
      <c r="D8" s="27" t="inlineStr">
        <is>
          <t>US$/hora</t>
        </is>
      </c>
      <c r="E8" s="28" t="n">
        <v>1</v>
      </c>
      <c r="F8" s="28">
        <f>Parametros!$B$6</f>
        <v/>
      </c>
      <c r="G8" s="29" t="n">
        <v>0.07000000000000001</v>
      </c>
      <c r="H8" s="29" t="n">
        <v>0.095</v>
      </c>
      <c r="I8" s="29" t="n">
        <v>0.12</v>
      </c>
      <c r="J8" s="30">
        <f>$E8*$F8*G8</f>
        <v/>
      </c>
      <c r="K8" s="31">
        <f>$E8*$F8*H8</f>
        <v/>
      </c>
      <c r="L8" s="30">
        <f>$E8*$F8*I8</f>
        <v/>
      </c>
      <c r="M8" s="28" t="inlineStr">
        <is>
          <t>Media</t>
        </is>
      </c>
      <c r="N8" s="21" t="inlineStr">
        <is>
          <t>Calculator → RDS → PostgreSQL → Single → 2 vCPU/4 GB. La opción Primary/Standby DUPLICA este importe.</t>
        </is>
      </c>
    </row>
    <row r="9" ht="30" customHeight="1">
      <c r="A9" s="25" t="inlineStr">
        <is>
          <t>Base de datos</t>
        </is>
      </c>
      <c r="B9" s="26" t="inlineStr">
        <is>
          <t>Almacenamiento RDS</t>
        </is>
      </c>
      <c r="C9" s="21" t="inlineStr">
        <is>
          <t>SSD en la nube, 40 GB (mínimo)</t>
        </is>
      </c>
      <c r="D9" s="27" t="inlineStr">
        <is>
          <t>US$/GB-mes</t>
        </is>
      </c>
      <c r="E9" s="28" t="n">
        <v>40</v>
      </c>
      <c r="F9" s="28" t="n">
        <v>1</v>
      </c>
      <c r="G9" s="29" t="n">
        <v>0.15</v>
      </c>
      <c r="H9" s="29" t="n">
        <v>0.18</v>
      </c>
      <c r="I9" s="29" t="n">
        <v>0.22</v>
      </c>
      <c r="J9" s="30">
        <f>$E9*$F9*G9</f>
        <v/>
      </c>
      <c r="K9" s="31">
        <f>$E9*$F9*H9</f>
        <v/>
      </c>
      <c r="L9" s="30">
        <f>$E9*$F9*I9</f>
        <v/>
      </c>
      <c r="M9" s="28" t="inlineStr">
        <is>
          <t>Media</t>
        </is>
      </c>
      <c r="N9" s="21" t="inlineStr">
        <is>
          <t>Mismo asistente, apartado Storage. 40 GB es el mínimo que admite RDS.</t>
        </is>
      </c>
    </row>
    <row r="10" ht="30" customHeight="1">
      <c r="A10" s="25" t="inlineStr">
        <is>
          <t>Base de datos</t>
        </is>
      </c>
      <c r="B10" s="26" t="inlineStr">
        <is>
          <t>Backup automático + PITR</t>
        </is>
      </c>
      <c r="C10" s="21" t="inlineStr">
        <is>
          <t>Retención 7 días</t>
        </is>
      </c>
      <c r="D10" s="27" t="inlineStr">
        <is>
          <t>US$/mes</t>
        </is>
      </c>
      <c r="E10" s="28" t="n">
        <v>1</v>
      </c>
      <c r="F10" s="28" t="n">
        <v>1</v>
      </c>
      <c r="G10" s="29" t="n">
        <v>0</v>
      </c>
      <c r="H10" s="29" t="n">
        <v>0</v>
      </c>
      <c r="I10" s="29" t="n">
        <v>3</v>
      </c>
      <c r="J10" s="30">
        <f>$E10*$F10*G10</f>
        <v/>
      </c>
      <c r="K10" s="31">
        <f>$E10*$F10*H10</f>
        <v/>
      </c>
      <c r="L10" s="30">
        <f>$E10*$F10*I10</f>
        <v/>
      </c>
      <c r="M10" s="28" t="inlineStr">
        <is>
          <t>Baja</t>
        </is>
      </c>
      <c r="N10" s="21" t="inlineStr">
        <is>
          <t>Huawei suele incluir sin cargo un backup del tamaño del almacenamiento contratado; el exceso se cobra. CONFIRMAR.</t>
        </is>
      </c>
    </row>
    <row r="11" ht="30" customHeight="1">
      <c r="A11" s="25" t="inlineStr">
        <is>
          <t>Almacenamiento</t>
        </is>
      </c>
      <c r="B11" s="26" t="inlineStr">
        <is>
          <t>EVS de datos</t>
        </is>
      </c>
      <c r="C11" s="21" t="inlineStr">
        <is>
          <t>SSD 100 GB montado en /data (índice + snapshot)</t>
        </is>
      </c>
      <c r="D11" s="27" t="inlineStr">
        <is>
          <t>US$/GB-mes</t>
        </is>
      </c>
      <c r="E11" s="28" t="n">
        <v>100</v>
      </c>
      <c r="F11" s="28" t="n">
        <v>1</v>
      </c>
      <c r="G11" s="29" t="n">
        <v>0.1</v>
      </c>
      <c r="H11" s="29" t="n">
        <v>0.12</v>
      </c>
      <c r="I11" s="29" t="n">
        <v>0.15</v>
      </c>
      <c r="J11" s="30">
        <f>$E11*$F11*G11</f>
        <v/>
      </c>
      <c r="K11" s="31">
        <f>$E11*$F11*H11</f>
        <v/>
      </c>
      <c r="L11" s="30">
        <f>$E11*$F11*I11</f>
        <v/>
      </c>
      <c r="M11" s="28" t="inlineStr">
        <is>
          <t>Media</t>
        </is>
      </c>
      <c r="N11" s="21" t="inlineStr">
        <is>
          <t>Calculator → EVS → General Purpose SSD → 100 GB.</t>
        </is>
      </c>
    </row>
    <row r="12" ht="30" customHeight="1">
      <c r="A12" s="25" t="inlineStr">
        <is>
          <t>Almacenamiento</t>
        </is>
      </c>
      <c r="B12" s="26" t="inlineStr">
        <is>
          <t>OBS Standard</t>
        </is>
      </c>
      <c r="C12" s="21" t="inlineStr">
        <is>
          <t>PDFs + snapshot + pesos bge-m3 (~20 GB)</t>
        </is>
      </c>
      <c r="D12" s="27" t="inlineStr">
        <is>
          <t>US$/GB-mes</t>
        </is>
      </c>
      <c r="E12" s="28" t="n">
        <v>20</v>
      </c>
      <c r="F12" s="28" t="n">
        <v>1</v>
      </c>
      <c r="G12" s="29" t="n">
        <v>0.019</v>
      </c>
      <c r="H12" s="29" t="n">
        <v>0.024</v>
      </c>
      <c r="I12" s="29" t="n">
        <v>0.03</v>
      </c>
      <c r="J12" s="30">
        <f>$E12*$F12*G12</f>
        <v/>
      </c>
      <c r="K12" s="31">
        <f>$E12*$F12*H12</f>
        <v/>
      </c>
      <c r="L12" s="30">
        <f>$E12*$F12*I12</f>
        <v/>
      </c>
      <c r="M12" s="28" t="inlineStr">
        <is>
          <t>Media</t>
        </is>
      </c>
      <c r="N12" s="21" t="inlineStr">
        <is>
          <t>Calculator → OBS → Standard storage → región LA-Santiago.</t>
        </is>
      </c>
    </row>
    <row r="13" ht="30" customHeight="1">
      <c r="A13" s="25" t="inlineStr">
        <is>
          <t>Almacenamiento</t>
        </is>
      </c>
      <c r="B13" s="26" t="inlineStr">
        <is>
          <t>OBS peticiones y salida</t>
        </is>
      </c>
      <c r="C13" s="21" t="inlineStr">
        <is>
          <t>Volumen bajo: demo y sincronización del nodo</t>
        </is>
      </c>
      <c r="D13" s="27" t="inlineStr">
        <is>
          <t>US$/mes</t>
        </is>
      </c>
      <c r="E13" s="28" t="n">
        <v>1</v>
      </c>
      <c r="F13" s="28" t="n">
        <v>1</v>
      </c>
      <c r="G13" s="29" t="n">
        <v>0.5</v>
      </c>
      <c r="H13" s="29" t="n">
        <v>1</v>
      </c>
      <c r="I13" s="29" t="n">
        <v>2</v>
      </c>
      <c r="J13" s="30">
        <f>$E13*$F13*G13</f>
        <v/>
      </c>
      <c r="K13" s="31">
        <f>$E13*$F13*H13</f>
        <v/>
      </c>
      <c r="L13" s="30">
        <f>$E13*$F13*I13</f>
        <v/>
      </c>
      <c r="M13" s="28" t="inlineStr">
        <is>
          <t>Baja</t>
        </is>
      </c>
      <c r="N13" s="21" t="inlineStr">
        <is>
          <t>Se cobra por cada 10.000 peticiones y por tráfico saliente. Difícil de precisar sin uso real.</t>
        </is>
      </c>
    </row>
    <row r="14" ht="30" customHeight="1">
      <c r="A14" s="25" t="inlineStr">
        <is>
          <t>Almacenamiento</t>
        </is>
      </c>
      <c r="B14" s="26" t="inlineStr">
        <is>
          <t>CBR — respaldo del disco</t>
        </is>
      </c>
      <c r="C14" s="21" t="inlineStr">
        <is>
          <t>Copia diaria de /data, retención 7 días</t>
        </is>
      </c>
      <c r="D14" s="27" t="inlineStr">
        <is>
          <t>US$/GB-mes</t>
        </is>
      </c>
      <c r="E14" s="28" t="n">
        <v>100</v>
      </c>
      <c r="F14" s="28" t="n">
        <v>1</v>
      </c>
      <c r="G14" s="29" t="n">
        <v>0.05</v>
      </c>
      <c r="H14" s="29" t="n">
        <v>0.06</v>
      </c>
      <c r="I14" s="29" t="n">
        <v>0.08</v>
      </c>
      <c r="J14" s="30">
        <f>$E14*$F14*G14</f>
        <v/>
      </c>
      <c r="K14" s="31">
        <f>$E14*$F14*H14</f>
        <v/>
      </c>
      <c r="L14" s="30">
        <f>$E14*$F14*I14</f>
        <v/>
      </c>
      <c r="M14" s="28" t="inlineStr">
        <is>
          <t>Media</t>
        </is>
      </c>
      <c r="N14" s="21" t="inlineStr">
        <is>
          <t>Calculator → CBR → Cloud Server Backup → 100 GB de capacidad de bóveda.</t>
        </is>
      </c>
    </row>
    <row r="15" ht="30" customHeight="1">
      <c r="A15" s="25" t="inlineStr">
        <is>
          <t>Red</t>
        </is>
      </c>
      <c r="B15" s="26" t="inlineStr">
        <is>
          <t>EIP — cargo por IP</t>
        </is>
      </c>
      <c r="C15" s="21" t="inlineStr">
        <is>
          <t>1 IP elástica asociada al ECS</t>
        </is>
      </c>
      <c r="D15" s="27" t="inlineStr">
        <is>
          <t>US$/hora</t>
        </is>
      </c>
      <c r="E15" s="28" t="n">
        <v>1</v>
      </c>
      <c r="F15" s="28">
        <f>Parametros!$B$6</f>
        <v/>
      </c>
      <c r="G15" s="29" t="n">
        <v>0.005</v>
      </c>
      <c r="H15" s="29" t="n">
        <v>0.007</v>
      </c>
      <c r="I15" s="29" t="n">
        <v>0.01</v>
      </c>
      <c r="J15" s="30">
        <f>$E15*$F15*G15</f>
        <v/>
      </c>
      <c r="K15" s="31">
        <f>$E15*$F15*H15</f>
        <v/>
      </c>
      <c r="L15" s="30">
        <f>$E15*$F15*I15</f>
        <v/>
      </c>
      <c r="M15" s="28" t="inlineStr">
        <is>
          <t>Media</t>
        </is>
      </c>
      <c r="N15" s="21" t="inlineStr">
        <is>
          <t>Calculator → EIP → Pay-per-use → facturación por tráfico. El cargo por IP es aparte.</t>
        </is>
      </c>
    </row>
    <row r="16" ht="30" customHeight="1">
      <c r="A16" s="25" t="inlineStr">
        <is>
          <t>Red</t>
        </is>
      </c>
      <c r="B16" s="26" t="inlineStr">
        <is>
          <t>Tráfico saliente</t>
        </is>
      </c>
      <c r="C16" s="21" t="inlineStr">
        <is>
          <t>SPA, API y descarga de PDFs</t>
        </is>
      </c>
      <c r="D16" s="27" t="inlineStr">
        <is>
          <t>US$/GB</t>
        </is>
      </c>
      <c r="E16" s="28" t="n">
        <v>1</v>
      </c>
      <c r="F16" s="28">
        <f>Parametros!$B$12</f>
        <v/>
      </c>
      <c r="G16" s="29" t="n">
        <v>0.08</v>
      </c>
      <c r="H16" s="29" t="n">
        <v>0.09</v>
      </c>
      <c r="I16" s="29" t="n">
        <v>0.12</v>
      </c>
      <c r="J16" s="30">
        <f>$E16*$F16*G16</f>
        <v/>
      </c>
      <c r="K16" s="31">
        <f>$E16*$F16*H16</f>
        <v/>
      </c>
      <c r="L16" s="30">
        <f>$E16*$F16*I16</f>
        <v/>
      </c>
      <c r="M16" s="28" t="inlineStr">
        <is>
          <t>Media</t>
        </is>
      </c>
      <c r="N16" s="21" t="inlineStr">
        <is>
          <t>El tráfico ENTRANTE no se cobra. Solo se paga la salida a internet.</t>
        </is>
      </c>
    </row>
    <row r="17" ht="30" customHeight="1">
      <c r="A17" s="25" t="inlineStr">
        <is>
          <t>Operación</t>
        </is>
      </c>
      <c r="B17" s="26" t="inlineStr">
        <is>
          <t>LTS — logs</t>
        </is>
      </c>
      <c r="C17" s="21" t="inlineStr">
        <is>
          <t>nginx + contenedor, ~2 GB/mes, retención 7 días</t>
        </is>
      </c>
      <c r="D17" s="27" t="inlineStr">
        <is>
          <t>US$/GB</t>
        </is>
      </c>
      <c r="E17" s="28" t="n">
        <v>1</v>
      </c>
      <c r="F17" s="28" t="n">
        <v>2</v>
      </c>
      <c r="G17" s="29" t="n">
        <v>0.3</v>
      </c>
      <c r="H17" s="29" t="n">
        <v>0.4</v>
      </c>
      <c r="I17" s="29" t="n">
        <v>0.5</v>
      </c>
      <c r="J17" s="30">
        <f>$E17*$F17*G17</f>
        <v/>
      </c>
      <c r="K17" s="31">
        <f>$E17*$F17*H17</f>
        <v/>
      </c>
      <c r="L17" s="30">
        <f>$E17*$F17*I17</f>
        <v/>
      </c>
      <c r="M17" s="28" t="inlineStr">
        <is>
          <t>Baja</t>
        </is>
      </c>
      <c r="N17" s="21" t="inlineStr">
        <is>
          <t>Suele haber una cuota gratuita mensual de ingesta; comprobarla antes de presupuestar.</t>
        </is>
      </c>
    </row>
    <row r="18" ht="30" customHeight="1">
      <c r="A18" s="25" t="inlineStr">
        <is>
          <t>Operación</t>
        </is>
      </c>
      <c r="B18" s="26" t="inlineStr">
        <is>
          <t>CES + SMN — alarmas</t>
        </is>
      </c>
      <c r="C18" s="21" t="inlineStr">
        <is>
          <t>5 alarmas con aviso por correo</t>
        </is>
      </c>
      <c r="D18" s="27" t="inlineStr">
        <is>
          <t>US$/mes</t>
        </is>
      </c>
      <c r="E18" s="28" t="n">
        <v>1</v>
      </c>
      <c r="F18" s="28" t="n">
        <v>1</v>
      </c>
      <c r="G18" s="29" t="n">
        <v>0</v>
      </c>
      <c r="H18" s="29" t="n">
        <v>0</v>
      </c>
      <c r="I18" s="29" t="n">
        <v>1</v>
      </c>
      <c r="J18" s="30">
        <f>$E18*$F18*G18</f>
        <v/>
      </c>
      <c r="K18" s="31">
        <f>$E18*$F18*H18</f>
        <v/>
      </c>
      <c r="L18" s="30">
        <f>$E18*$F18*I18</f>
        <v/>
      </c>
      <c r="M18" s="28" t="inlineStr">
        <is>
          <t>Media</t>
        </is>
      </c>
      <c r="N18" s="21" t="inlineStr">
        <is>
          <t>La monitorización básica de CES y el correo de SMN son gratuitos en volúmenes bajos.</t>
        </is>
      </c>
    </row>
    <row r="19" ht="30" customHeight="1">
      <c r="A19" s="25" t="inlineStr">
        <is>
          <t>Operación</t>
        </is>
      </c>
      <c r="B19" s="26" t="inlineStr">
        <is>
          <t>DAS — consola SQL</t>
        </is>
      </c>
      <c r="C19" s="21" t="inlineStr">
        <is>
          <t>Acceso a RDS desde el navegador</t>
        </is>
      </c>
      <c r="D19" s="27" t="inlineStr">
        <is>
          <t>US$/mes</t>
        </is>
      </c>
      <c r="E19" s="28" t="n">
        <v>1</v>
      </c>
      <c r="F19" s="28" t="n">
        <v>1</v>
      </c>
      <c r="G19" s="29" t="n">
        <v>0</v>
      </c>
      <c r="H19" s="29" t="n">
        <v>0</v>
      </c>
      <c r="I19" s="29" t="n">
        <v>0</v>
      </c>
      <c r="J19" s="30">
        <f>$E19*$F19*G19</f>
        <v/>
      </c>
      <c r="K19" s="31">
        <f>$E19*$F19*H19</f>
        <v/>
      </c>
      <c r="L19" s="30">
        <f>$E19*$F19*I19</f>
        <v/>
      </c>
      <c r="M19" s="28" t="inlineStr">
        <is>
          <t>Media</t>
        </is>
      </c>
      <c r="N19" s="21" t="inlineStr">
        <is>
          <t>La edición estándar de DAS es gratuita.</t>
        </is>
      </c>
    </row>
    <row r="20" ht="30" customHeight="1">
      <c r="A20" s="25" t="inlineStr">
        <is>
          <t>Operación</t>
        </is>
      </c>
      <c r="B20" s="26" t="inlineStr">
        <is>
          <t>SCM — certificado TLS</t>
        </is>
      </c>
      <c r="C20" s="21" t="inlineStr">
        <is>
          <t>Certificado de dominio único</t>
        </is>
      </c>
      <c r="D20" s="27" t="inlineStr">
        <is>
          <t>US$/mes</t>
        </is>
      </c>
      <c r="E20" s="28" t="n">
        <v>1</v>
      </c>
      <c r="F20" s="28" t="n">
        <v>1</v>
      </c>
      <c r="G20" s="29" t="n">
        <v>0</v>
      </c>
      <c r="H20" s="29" t="n">
        <v>0</v>
      </c>
      <c r="I20" s="29" t="n">
        <v>0</v>
      </c>
      <c r="J20" s="30">
        <f>$E20*$F20*G20</f>
        <v/>
      </c>
      <c r="K20" s="31">
        <f>$E20*$F20*H20</f>
        <v/>
      </c>
      <c r="L20" s="30">
        <f>$E20*$F20*I20</f>
        <v/>
      </c>
      <c r="M20" s="28" t="inlineStr">
        <is>
          <t>Media</t>
        </is>
      </c>
      <c r="N20" s="21" t="inlineStr">
        <is>
          <t>Existe certificado gratuito. Alternativa sin coste: Let's Encrypt en el propio nginx.</t>
        </is>
      </c>
    </row>
    <row r="21" ht="30" customHeight="1">
      <c r="A21" s="25" t="inlineStr">
        <is>
          <t>Operación</t>
        </is>
      </c>
      <c r="B21" s="26" t="inlineStr">
        <is>
          <t>DNS — zona pública</t>
        </is>
      </c>
      <c r="C21" s="21" t="inlineStr">
        <is>
          <t>1 zona alojada</t>
        </is>
      </c>
      <c r="D21" s="27" t="inlineStr">
        <is>
          <t>US$/mes</t>
        </is>
      </c>
      <c r="E21" s="28" t="n">
        <v>1</v>
      </c>
      <c r="F21" s="28" t="n">
        <v>1</v>
      </c>
      <c r="G21" s="29" t="n">
        <v>0.5</v>
      </c>
      <c r="H21" s="29" t="n">
        <v>0.5</v>
      </c>
      <c r="I21" s="29" t="n">
        <v>0.5</v>
      </c>
      <c r="J21" s="30">
        <f>$E21*$F21*G21</f>
        <v/>
      </c>
      <c r="K21" s="31">
        <f>$E21*$F21*H21</f>
        <v/>
      </c>
      <c r="L21" s="30">
        <f>$E21*$F21*I21</f>
        <v/>
      </c>
      <c r="M21" s="28" t="inlineStr">
        <is>
          <t>Media</t>
        </is>
      </c>
      <c r="N21" s="21" t="inlineStr">
        <is>
          <t>Coste bajo y estable. No incluye el registro del dominio.</t>
        </is>
      </c>
    </row>
    <row r="23">
      <c r="B23" s="14" t="inlineStr">
        <is>
          <t>SUBTOTALES POR CATEGORÍA</t>
        </is>
      </c>
    </row>
    <row r="24">
      <c r="B24" s="14" t="inlineStr">
        <is>
          <t>Cómputo</t>
        </is>
      </c>
      <c r="J24" s="9">
        <f>SUMIF($A$5:$A$21,$B24,J$5:J$21)</f>
        <v/>
      </c>
      <c r="K24" s="9">
        <f>SUMIF($A$5:$A$21,$B24,K$5:K$21)</f>
        <v/>
      </c>
      <c r="L24" s="9">
        <f>SUMIF($A$5:$A$21,$B24,L$5:L$21)</f>
        <v/>
      </c>
    </row>
    <row r="25">
      <c r="B25" s="14" t="inlineStr">
        <is>
          <t>Base de datos</t>
        </is>
      </c>
      <c r="J25" s="9">
        <f>SUMIF($A$5:$A$21,$B25,J$5:J$21)</f>
        <v/>
      </c>
      <c r="K25" s="9">
        <f>SUMIF($A$5:$A$21,$B25,K$5:K$21)</f>
        <v/>
      </c>
      <c r="L25" s="9">
        <f>SUMIF($A$5:$A$21,$B25,L$5:L$21)</f>
        <v/>
      </c>
    </row>
    <row r="26">
      <c r="B26" s="14" t="inlineStr">
        <is>
          <t>Almacenamiento</t>
        </is>
      </c>
      <c r="J26" s="9">
        <f>SUMIF($A$5:$A$21,$B26,J$5:J$21)</f>
        <v/>
      </c>
      <c r="K26" s="9">
        <f>SUMIF($A$5:$A$21,$B26,K$5:K$21)</f>
        <v/>
      </c>
      <c r="L26" s="9">
        <f>SUMIF($A$5:$A$21,$B26,L$5:L$21)</f>
        <v/>
      </c>
    </row>
    <row r="27">
      <c r="B27" s="14" t="inlineStr">
        <is>
          <t>Red</t>
        </is>
      </c>
      <c r="J27" s="9">
        <f>SUMIF($A$5:$A$21,$B27,J$5:J$21)</f>
        <v/>
      </c>
      <c r="K27" s="9">
        <f>SUMIF($A$5:$A$21,$B27,K$5:K$21)</f>
        <v/>
      </c>
      <c r="L27" s="9">
        <f>SUMIF($A$5:$A$21,$B27,L$5:L$21)</f>
        <v/>
      </c>
    </row>
    <row r="28">
      <c r="B28" s="14" t="inlineStr">
        <is>
          <t>Operación</t>
        </is>
      </c>
      <c r="J28" s="9">
        <f>SUMIF($A$5:$A$21,$B28,J$5:J$21)</f>
        <v/>
      </c>
      <c r="K28" s="9">
        <f>SUMIF($A$5:$A$21,$B28,K$5:K$21)</f>
        <v/>
      </c>
      <c r="L28" s="9">
        <f>SUMIF($A$5:$A$21,$B28,L$5:L$21)</f>
        <v/>
      </c>
    </row>
    <row r="30">
      <c r="B30" s="18" t="inlineStr">
        <is>
          <t>TOTAL INFRAESTRUCTURA (mes)</t>
        </is>
      </c>
      <c r="J30" s="32">
        <f>SUM(J24:J28)</f>
        <v/>
      </c>
      <c r="K30" s="32">
        <f>SUM(K24:K28)</f>
        <v/>
      </c>
      <c r="L30" s="32">
        <f>SUM(L24:L28)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82" customWidth="1" min="4" max="4"/>
  </cols>
  <sheetData>
    <row r="1">
      <c r="A1" s="1" t="inlineStr">
        <is>
          <t>Consumo de LLM — ModelArts MaaS</t>
        </is>
      </c>
    </row>
    <row r="2">
      <c r="A2" s="2" t="inlineStr">
        <is>
          <t>Único bloque con datos MEDIDOS en el proyecto, no estimados</t>
        </is>
      </c>
    </row>
    <row r="4" ht="30" customHeight="1">
      <c r="A4" s="3" t="inlineStr">
        <is>
          <t>Concepto</t>
        </is>
      </c>
      <c r="B4" s="3" t="inlineStr">
        <is>
          <t>Valor</t>
        </is>
      </c>
      <c r="C4" s="3" t="inlineStr">
        <is>
          <t>Unidad</t>
        </is>
      </c>
      <c r="D4" s="3" t="inlineStr">
        <is>
          <t>Origen del dato</t>
        </is>
      </c>
    </row>
    <row r="5" ht="30" customHeight="1">
      <c r="A5" s="4" t="inlineStr">
        <is>
          <t>Coste por run premium (5 etapas, en frío)</t>
        </is>
      </c>
      <c r="B5" s="33" t="n">
        <v>0.21</v>
      </c>
      <c r="C5" s="4" t="inlineStr">
        <is>
          <t>US$/run</t>
        </is>
      </c>
      <c r="D5" s="21" t="inlineStr">
        <is>
          <t>MEDIDO el 2026-08-02 y anotado en .env.example: entre US$ 0,19 y 0,23. Tres de las cinco etapas usan glm-5.2.</t>
        </is>
      </c>
    </row>
    <row r="6" ht="30" customHeight="1">
      <c r="A6" s="4" t="inlineStr">
        <is>
          <t>Coste por run gratuito (3 etapas)</t>
        </is>
      </c>
      <c r="B6" s="34" t="n">
        <v>0.05</v>
      </c>
      <c r="C6" s="4" t="inlineStr">
        <is>
          <t>US$/run</t>
        </is>
      </c>
      <c r="D6" s="21" t="inlineStr">
        <is>
          <t>Estimado a partir del anterior: sin las etapas 4 y 5, que son las caras.</t>
        </is>
      </c>
    </row>
    <row r="7" ht="30" customHeight="1">
      <c r="A7" s="4" t="inlineStr">
        <is>
          <t>Runs premium al mes</t>
        </is>
      </c>
      <c r="B7" s="35">
        <f>Parametros!$B$11</f>
        <v/>
      </c>
      <c r="C7" s="4" t="inlineStr">
        <is>
          <t>runs</t>
        </is>
      </c>
      <c r="D7" s="21" t="inlineStr">
        <is>
          <t>Parámetro editable en la hoja 'Parámetros'.</t>
        </is>
      </c>
    </row>
    <row r="8" ht="30" customHeight="1">
      <c r="A8" s="4" t="inlineStr">
        <is>
          <t>Runs gratuitos al mes</t>
        </is>
      </c>
      <c r="B8" s="35" t="n">
        <v>200</v>
      </c>
      <c r="C8" s="4" t="inlineStr">
        <is>
          <t>runs</t>
        </is>
      </c>
      <c r="D8" s="21" t="inlineStr">
        <is>
          <t>EDITAR. En el plan gratuito el paywall corta antes de la etapa 4.</t>
        </is>
      </c>
    </row>
    <row r="9" ht="30" customHeight="1">
      <c r="A9" s="4" t="inlineStr">
        <is>
          <t>Ahorro por cache de respuestas</t>
        </is>
      </c>
      <c r="B9" s="24" t="n">
        <v>0.3</v>
      </c>
      <c r="C9" s="4" t="inlineStr">
        <is>
          <t>%</t>
        </is>
      </c>
      <c r="D9" s="21" t="inlineStr">
        <is>
          <t>El envoltorio etapa() cachea por (entrada, modelo, etapa, snapshot). En demos con consultas repetidas el ahorro real es mayor.</t>
        </is>
      </c>
    </row>
    <row r="11">
      <c r="A11" s="18" t="inlineStr">
        <is>
          <t>COSTE MENSUAL DE LLM</t>
        </is>
      </c>
      <c r="B11" s="32">
        <f>(B5*B7+B6*B8)*(1-B9)</f>
        <v/>
      </c>
    </row>
    <row r="13">
      <c r="A13" s="14" t="inlineStr">
        <is>
          <t>Control de gasto ya implementado en la aplicación</t>
        </is>
      </c>
    </row>
    <row r="14" ht="30" customHeight="1">
      <c r="A14" s="19" t="inlineStr">
        <is>
          <t>El kill-switch de la Semana 3 (PRESUPUESTO_GLOBAL_MES_USD, hoy 10) corta TODAS las llamadas al LLM al superar el tope: los runs siguen devolviendo 200 con informe parcial y motivo 'presupuesto'. Nunca un error.</t>
        </is>
      </c>
    </row>
    <row r="15" ht="30" customHeight="1">
      <c r="A15" s="19" t="inlineStr">
        <is>
          <t>Con US$ 0,21 por run premium, un tope de US$ 10/mes son ~45 runs para toda la institución: sobra para la demo del CDR y se queda corto para uso real. Subirlo es una decisión consciente, no un descuido.</t>
        </is>
      </c>
    </row>
    <row r="16" ht="30" customHeight="1">
      <c r="A16" s="19" t="inlineStr">
        <is>
          <t>Hay además topes por run (US$ 0,25) y por usuario/mes (US$ 2 gratuito, US$ 10 premium).</t>
        </is>
      </c>
    </row>
  </sheetData>
  <mergeCells count="3">
    <mergeCell ref="A15:D15"/>
    <mergeCell ref="A16:D16"/>
    <mergeCell ref="A14:D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N3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2" customWidth="1" min="4" max="4"/>
    <col width="7" customWidth="1" min="5" max="5"/>
    <col width="10" customWidth="1" min="6" max="6"/>
    <col width="10" customWidth="1" min="7" max="7"/>
    <col width="12" customWidth="1" min="8" max="8"/>
    <col width="10" customWidth="1" min="9" max="9"/>
    <col width="11" customWidth="1" min="10" max="10"/>
    <col width="14" customWidth="1" min="11" max="11"/>
    <col width="11" customWidth="1" min="12" max="12"/>
    <col width="12" customWidth="1" min="13" max="13"/>
    <col width="60" customWidth="1" min="14" max="14"/>
  </cols>
  <sheetData>
    <row r="1">
      <c r="A1" s="1" t="inlineStr">
        <is>
          <t>Escenario C · Producción CITE — detalle por línea</t>
        </is>
      </c>
    </row>
    <row r="2">
      <c r="A2" s="2" t="inlineStr">
        <is>
          <t>Fase 2 del ADR-003: 100-300 organizaciones · 2 réplicas de API con balanceador · base en alta disponibilidad</t>
        </is>
      </c>
    </row>
    <row r="4" ht="30" customHeight="1">
      <c r="A4" s="3" t="inlineStr">
        <is>
          <t>Categoría</t>
        </is>
      </c>
      <c r="B4" s="3" t="inlineStr">
        <is>
          <t>Concepto</t>
        </is>
      </c>
      <c r="C4" s="3" t="inlineStr">
        <is>
          <t>Especificación</t>
        </is>
      </c>
      <c r="D4" s="3" t="inlineStr">
        <is>
          <t>Unidad</t>
        </is>
      </c>
      <c r="E4" s="3" t="inlineStr">
        <is>
          <t>Cant.</t>
        </is>
      </c>
      <c r="F4" s="3" t="inlineStr">
        <is>
          <t>Uso/mes</t>
        </is>
      </c>
      <c r="G4" s="3" t="inlineStr">
        <is>
          <t>P. mín</t>
        </is>
      </c>
      <c r="H4" s="3" t="inlineStr">
        <is>
          <t>P. esperado</t>
        </is>
      </c>
      <c r="I4" s="3" t="inlineStr">
        <is>
          <t>P. máx</t>
        </is>
      </c>
      <c r="J4" s="3" t="inlineStr">
        <is>
          <t>Coste mín</t>
        </is>
      </c>
      <c r="K4" s="3" t="inlineStr">
        <is>
          <t>Coste esperado</t>
        </is>
      </c>
      <c r="L4" s="3" t="inlineStr">
        <is>
          <t>Coste máx</t>
        </is>
      </c>
      <c r="M4" s="3" t="inlineStr">
        <is>
          <t>Confianza</t>
        </is>
      </c>
      <c r="N4" s="3" t="inlineStr">
        <is>
          <t>Por qué entra en producción y no en el MVP</t>
        </is>
      </c>
    </row>
    <row r="5" ht="32" customHeight="1">
      <c r="A5" s="25" t="inlineStr">
        <is>
          <t>Cómputo</t>
        </is>
      </c>
      <c r="B5" s="26" t="inlineStr">
        <is>
          <t>ECS s7n.xlarge.2 × 2</t>
        </is>
      </c>
      <c r="C5" s="21" t="inlineStr">
        <is>
          <t>2 réplicas de la API detrás del balanceador</t>
        </is>
      </c>
      <c r="D5" s="27" t="inlineStr">
        <is>
          <t>US$/hora</t>
        </is>
      </c>
      <c r="E5" s="28" t="n">
        <v>2</v>
      </c>
      <c r="F5" s="28">
        <f>Parametros!$B$6</f>
        <v/>
      </c>
      <c r="G5" s="29" t="n">
        <v>0.096</v>
      </c>
      <c r="H5" s="29" t="n">
        <v>0.125</v>
      </c>
      <c r="I5" s="29" t="n">
        <v>0.15</v>
      </c>
      <c r="J5" s="30">
        <f>$E5*$F5*G5</f>
        <v/>
      </c>
      <c r="K5" s="31">
        <f>$E5*$F5*H5</f>
        <v/>
      </c>
      <c r="L5" s="30">
        <f>$E5*$F5*I5</f>
        <v/>
      </c>
      <c r="M5" s="28" t="inlineStr">
        <is>
          <t>Media</t>
        </is>
      </c>
      <c r="N5" s="21" t="inlineStr">
        <is>
          <t>ADR-003 fase 2: se replica al superar p95 o CPU sostenida. Cada réplica carga su propia copia de bge-m3 (2,3 GB).</t>
        </is>
      </c>
    </row>
    <row r="6" ht="32" customHeight="1">
      <c r="A6" s="25" t="inlineStr">
        <is>
          <t>Cómputo</t>
        </is>
      </c>
      <c r="B6" s="26" t="inlineStr">
        <is>
          <t>Discos de sistema</t>
        </is>
      </c>
      <c r="C6" s="21" t="inlineStr">
        <is>
          <t>EVS SSD 40 GB × 2 nodos</t>
        </is>
      </c>
      <c r="D6" s="27" t="inlineStr">
        <is>
          <t>US$/GB-mes</t>
        </is>
      </c>
      <c r="E6" s="28" t="n">
        <v>80</v>
      </c>
      <c r="F6" s="28" t="n">
        <v>1</v>
      </c>
      <c r="G6" s="29" t="n">
        <v>0.1</v>
      </c>
      <c r="H6" s="29" t="n">
        <v>0.12</v>
      </c>
      <c r="I6" s="29" t="n">
        <v>0.15</v>
      </c>
      <c r="J6" s="30">
        <f>$E6*$F6*G6</f>
        <v/>
      </c>
      <c r="K6" s="31">
        <f>$E6*$F6*H6</f>
        <v/>
      </c>
      <c r="L6" s="30">
        <f>$E6*$F6*I6</f>
        <v/>
      </c>
      <c r="M6" s="28" t="inlineStr">
        <is>
          <t>Media</t>
        </is>
      </c>
      <c r="N6" s="21" t="inlineStr">
        <is>
          <t>Uno por nodo.</t>
        </is>
      </c>
    </row>
    <row r="7" ht="32" customHeight="1">
      <c r="A7" s="25" t="inlineStr">
        <is>
          <t>Cómputo</t>
        </is>
      </c>
      <c r="B7" s="26" t="inlineStr">
        <is>
          <t>ELB — balanceador</t>
        </is>
      </c>
      <c r="C7" s="21" t="inlineStr">
        <is>
          <t>Compartido, 1 listener HTTPS</t>
        </is>
      </c>
      <c r="D7" s="27" t="inlineStr">
        <is>
          <t>US$/hora</t>
        </is>
      </c>
      <c r="E7" s="28" t="n">
        <v>1</v>
      </c>
      <c r="F7" s="28">
        <f>Parametros!$B$6</f>
        <v/>
      </c>
      <c r="G7" s="29" t="n">
        <v>0.02</v>
      </c>
      <c r="H7" s="29" t="n">
        <v>0.03</v>
      </c>
      <c r="I7" s="29" t="n">
        <v>0.045</v>
      </c>
      <c r="J7" s="30">
        <f>$E7*$F7*G7</f>
        <v/>
      </c>
      <c r="K7" s="31">
        <f>$E7*$F7*H7</f>
        <v/>
      </c>
      <c r="L7" s="30">
        <f>$E7*$F7*I7</f>
        <v/>
      </c>
      <c r="M7" s="28" t="inlineStr">
        <is>
          <t>Baja</t>
        </is>
      </c>
      <c r="N7" s="21" t="inlineStr">
        <is>
          <t>Sin balanceador no hay dos nodos. Se factura por hora más unidades de capacidad según tráfico.</t>
        </is>
      </c>
    </row>
    <row r="8" ht="32" customHeight="1">
      <c r="A8" s="25" t="inlineStr">
        <is>
          <t>Base de datos</t>
        </is>
      </c>
      <c r="B8" s="26" t="inlineStr">
        <is>
          <t>RDS PostgreSQL en HA</t>
        </is>
      </c>
      <c r="C8" s="21" t="inlineStr">
        <is>
          <t>4 vCPU/8 GB · primario + en espera</t>
        </is>
      </c>
      <c r="D8" s="27" t="inlineStr">
        <is>
          <t>US$/hora</t>
        </is>
      </c>
      <c r="E8" s="28" t="n">
        <v>1</v>
      </c>
      <c r="F8" s="28">
        <f>Parametros!$B$6</f>
        <v/>
      </c>
      <c r="G8" s="29" t="n">
        <v>0.3</v>
      </c>
      <c r="H8" s="29" t="n">
        <v>0.38</v>
      </c>
      <c r="I8" s="29" t="n">
        <v>0.46</v>
      </c>
      <c r="J8" s="30">
        <f>$E8*$F8*G8</f>
        <v/>
      </c>
      <c r="K8" s="31">
        <f>$E8*$F8*H8</f>
        <v/>
      </c>
      <c r="L8" s="30">
        <f>$E8*$F8*I8</f>
        <v/>
      </c>
      <c r="M8" s="28" t="inlineStr">
        <is>
          <t>Baja</t>
        </is>
      </c>
      <c r="N8" s="21" t="inlineStr">
        <is>
          <t>DUPLICA el precio del nodo único y sube de flavor. Es la línea más cara del escenario y la primera a discutir.</t>
        </is>
      </c>
    </row>
    <row r="9" ht="32" customHeight="1">
      <c r="A9" s="25" t="inlineStr">
        <is>
          <t>Base de datos</t>
        </is>
      </c>
      <c r="B9" s="26" t="inlineStr">
        <is>
          <t>Almacenamiento RDS</t>
        </is>
      </c>
      <c r="C9" s="21" t="inlineStr">
        <is>
          <t>SSD 100 GB</t>
        </is>
      </c>
      <c r="D9" s="27" t="inlineStr">
        <is>
          <t>US$/GB-mes</t>
        </is>
      </c>
      <c r="E9" s="28" t="n">
        <v>100</v>
      </c>
      <c r="F9" s="28" t="n">
        <v>1</v>
      </c>
      <c r="G9" s="29" t="n">
        <v>0.15</v>
      </c>
      <c r="H9" s="29" t="n">
        <v>0.18</v>
      </c>
      <c r="I9" s="29" t="n">
        <v>0.22</v>
      </c>
      <c r="J9" s="30">
        <f>$E9*$F9*G9</f>
        <v/>
      </c>
      <c r="K9" s="31">
        <f>$E9*$F9*H9</f>
        <v/>
      </c>
      <c r="L9" s="30">
        <f>$E9*$F9*I9</f>
        <v/>
      </c>
      <c r="M9" s="28" t="inlineStr">
        <is>
          <t>Media</t>
        </is>
      </c>
      <c r="N9" s="21" t="inlineStr">
        <is>
          <t>Crece con el histórico de ejecuciones y el cache de respuestas.</t>
        </is>
      </c>
    </row>
    <row r="10" ht="32" customHeight="1">
      <c r="A10" s="25" t="inlineStr">
        <is>
          <t>Base de datos</t>
        </is>
      </c>
      <c r="B10" s="26" t="inlineStr">
        <is>
          <t>Réplica de lectura (opcional)</t>
        </is>
      </c>
      <c r="C10" s="21" t="inlineStr">
        <is>
          <t>4 vCPU/8 GB · solo lecturas del panel</t>
        </is>
      </c>
      <c r="D10" s="27" t="inlineStr">
        <is>
          <t>US$/hora</t>
        </is>
      </c>
      <c r="E10" s="28" t="n">
        <v>0</v>
      </c>
      <c r="F10" s="28">
        <f>Parametros!$B$6</f>
        <v/>
      </c>
      <c r="G10" s="29" t="n">
        <v>0.15</v>
      </c>
      <c r="H10" s="29" t="n">
        <v>0.19</v>
      </c>
      <c r="I10" s="29" t="n">
        <v>0.23</v>
      </c>
      <c r="J10" s="30">
        <f>$E10*$F10*G10</f>
        <v/>
      </c>
      <c r="K10" s="31">
        <f>$E10*$F10*H10</f>
        <v/>
      </c>
      <c r="L10" s="30">
        <f>$E10*$F10*I10</f>
        <v/>
      </c>
      <c r="M10" s="28" t="inlineStr">
        <is>
          <t>Baja</t>
        </is>
      </c>
      <c r="N10" s="21" t="inlineStr">
        <is>
          <t>Cantidad en 0: el ADR no la pide en fase 2. Poner 1 si el panel del CITE penaliza la escritura.</t>
        </is>
      </c>
    </row>
    <row r="11" ht="32" customHeight="1">
      <c r="A11" s="25" t="inlineStr">
        <is>
          <t>Almacenamiento</t>
        </is>
      </c>
      <c r="B11" s="26" t="inlineStr">
        <is>
          <t>OBS Standard</t>
        </is>
      </c>
      <c r="C11" s="21" t="inlineStr">
        <is>
          <t>Fuente de verdad: snapshots, informes, corpus (~100 GB)</t>
        </is>
      </c>
      <c r="D11" s="27" t="inlineStr">
        <is>
          <t>US$/GB-mes</t>
        </is>
      </c>
      <c r="E11" s="28" t="n">
        <v>100</v>
      </c>
      <c r="F11" s="28" t="n">
        <v>1</v>
      </c>
      <c r="G11" s="29" t="n">
        <v>0.019</v>
      </c>
      <c r="H11" s="29" t="n">
        <v>0.024</v>
      </c>
      <c r="I11" s="29" t="n">
        <v>0.03</v>
      </c>
      <c r="J11" s="30">
        <f>$E11*$F11*G11</f>
        <v/>
      </c>
      <c r="K11" s="31">
        <f>$E11*$F11*H11</f>
        <v/>
      </c>
      <c r="L11" s="30">
        <f>$E11*$F11*I11</f>
        <v/>
      </c>
      <c r="M11" s="28" t="inlineStr">
        <is>
          <t>Media</t>
        </is>
      </c>
      <c r="N11" s="21" t="inlineStr">
        <is>
          <t>En fase 2 el OBS pasa a ser la fuente de verdad y el disco local es cache.</t>
        </is>
      </c>
    </row>
    <row r="12" ht="32" customHeight="1">
      <c r="A12" s="25" t="inlineStr">
        <is>
          <t>Almacenamiento</t>
        </is>
      </c>
      <c r="B12" s="26" t="inlineStr">
        <is>
          <t>OBS peticiones y salida</t>
        </is>
      </c>
      <c r="C12" s="21" t="inlineStr">
        <is>
          <t>Pull de snapshots por nodo + descargas de informes</t>
        </is>
      </c>
      <c r="D12" s="27" t="inlineStr">
        <is>
          <t>US$/mes</t>
        </is>
      </c>
      <c r="E12" s="28" t="n">
        <v>1</v>
      </c>
      <c r="F12" s="28" t="n">
        <v>1</v>
      </c>
      <c r="G12" s="29" t="n">
        <v>3</v>
      </c>
      <c r="H12" s="29" t="n">
        <v>5</v>
      </c>
      <c r="I12" s="29" t="n">
        <v>10</v>
      </c>
      <c r="J12" s="30">
        <f>$E12*$F12*G12</f>
        <v/>
      </c>
      <c r="K12" s="31">
        <f>$E12*$F12*H12</f>
        <v/>
      </c>
      <c r="L12" s="30">
        <f>$E12*$F12*I12</f>
        <v/>
      </c>
      <c r="M12" s="28" t="inlineStr">
        <is>
          <t>Baja</t>
        </is>
      </c>
      <c r="N12" s="21" t="inlineStr">
        <is>
          <t>Cada nodo descarga el snapshot al arrancar.</t>
        </is>
      </c>
    </row>
    <row r="13" ht="32" customHeight="1">
      <c r="A13" s="25" t="inlineStr">
        <is>
          <t>Almacenamiento</t>
        </is>
      </c>
      <c r="B13" s="26" t="inlineStr">
        <is>
          <t>CBR — respaldo</t>
        </is>
      </c>
      <c r="C13" s="21" t="inlineStr">
        <is>
          <t>Bóveda de 200 GB</t>
        </is>
      </c>
      <c r="D13" s="27" t="inlineStr">
        <is>
          <t>US$/GB-mes</t>
        </is>
      </c>
      <c r="E13" s="28" t="n">
        <v>200</v>
      </c>
      <c r="F13" s="28" t="n">
        <v>1</v>
      </c>
      <c r="G13" s="29" t="n">
        <v>0.05</v>
      </c>
      <c r="H13" s="29" t="n">
        <v>0.06</v>
      </c>
      <c r="I13" s="29" t="n">
        <v>0.08</v>
      </c>
      <c r="J13" s="30">
        <f>$E13*$F13*G13</f>
        <v/>
      </c>
      <c r="K13" s="31">
        <f>$E13*$F13*H13</f>
        <v/>
      </c>
      <c r="L13" s="30">
        <f>$E13*$F13*I13</f>
        <v/>
      </c>
      <c r="M13" s="28" t="inlineStr">
        <is>
          <t>Media</t>
        </is>
      </c>
      <c r="N13" s="21" t="inlineStr">
        <is>
          <t>Dos nodos y más datos.</t>
        </is>
      </c>
    </row>
    <row r="14" ht="32" customHeight="1">
      <c r="A14" s="25" t="inlineStr">
        <is>
          <t>Red</t>
        </is>
      </c>
      <c r="B14" s="26" t="inlineStr">
        <is>
          <t>EIP del balanceador</t>
        </is>
      </c>
      <c r="C14" s="21" t="inlineStr">
        <is>
          <t>1 IP elástica</t>
        </is>
      </c>
      <c r="D14" s="27" t="inlineStr">
        <is>
          <t>US$/hora</t>
        </is>
      </c>
      <c r="E14" s="28" t="n">
        <v>1</v>
      </c>
      <c r="F14" s="28">
        <f>Parametros!$B$6</f>
        <v/>
      </c>
      <c r="G14" s="29" t="n">
        <v>0.005</v>
      </c>
      <c r="H14" s="29" t="n">
        <v>0.007</v>
      </c>
      <c r="I14" s="29" t="n">
        <v>0.01</v>
      </c>
      <c r="J14" s="30">
        <f>$E14*$F14*G14</f>
        <v/>
      </c>
      <c r="K14" s="31">
        <f>$E14*$F14*H14</f>
        <v/>
      </c>
      <c r="L14" s="30">
        <f>$E14*$F14*I14</f>
        <v/>
      </c>
      <c r="M14" s="28" t="inlineStr">
        <is>
          <t>Media</t>
        </is>
      </c>
      <c r="N14" s="21" t="inlineStr">
        <is>
          <t>Los nodos dejan de tener IP pública propia.</t>
        </is>
      </c>
    </row>
    <row r="15" ht="32" customHeight="1">
      <c r="A15" s="25" t="inlineStr">
        <is>
          <t>Red</t>
        </is>
      </c>
      <c r="B15" s="26" t="inlineStr">
        <is>
          <t>Tráfico saliente</t>
        </is>
      </c>
      <c r="C15" s="21" t="inlineStr">
        <is>
          <t>200 GB/mes con usuarios reales</t>
        </is>
      </c>
      <c r="D15" s="27" t="inlineStr">
        <is>
          <t>US$/GB</t>
        </is>
      </c>
      <c r="E15" s="28" t="n">
        <v>1</v>
      </c>
      <c r="F15" s="28" t="n">
        <v>200</v>
      </c>
      <c r="G15" s="29" t="n">
        <v>0.08</v>
      </c>
      <c r="H15" s="29" t="n">
        <v>0.09</v>
      </c>
      <c r="I15" s="29" t="n">
        <v>0.12</v>
      </c>
      <c r="J15" s="30">
        <f>$E15*$F15*G15</f>
        <v/>
      </c>
      <c r="K15" s="31">
        <f>$E15*$F15*H15</f>
        <v/>
      </c>
      <c r="L15" s="30">
        <f>$E15*$F15*I15</f>
        <v/>
      </c>
      <c r="M15" s="28" t="inlineStr">
        <is>
          <t>Baja</t>
        </is>
      </c>
      <c r="N15" s="21" t="inlineStr">
        <is>
          <t>Estimación: ~7× el tráfico de piloto. Medir un mes real antes de firmar.</t>
        </is>
      </c>
    </row>
    <row r="16" ht="32" customHeight="1">
      <c r="A16" s="25" t="inlineStr">
        <is>
          <t>Red</t>
        </is>
      </c>
      <c r="B16" s="26" t="inlineStr">
        <is>
          <t>NAT Gateway</t>
        </is>
      </c>
      <c r="C16" s="21" t="inlineStr">
        <is>
          <t>Salida con IP fija para el agente web</t>
        </is>
      </c>
      <c r="D16" s="27" t="inlineStr">
        <is>
          <t>US$/hora</t>
        </is>
      </c>
      <c r="E16" s="28" t="n">
        <v>1</v>
      </c>
      <c r="F16" s="28">
        <f>Parametros!$B$6</f>
        <v/>
      </c>
      <c r="G16" s="29" t="n">
        <v>0.035</v>
      </c>
      <c r="H16" s="29" t="n">
        <v>0.05</v>
      </c>
      <c r="I16" s="29" t="n">
        <v>0.07000000000000001</v>
      </c>
      <c r="J16" s="30">
        <f>$E16*$F16*G16</f>
        <v/>
      </c>
      <c r="K16" s="31">
        <f>$E16*$F16*H16</f>
        <v/>
      </c>
      <c r="L16" s="30">
        <f>$E16*$F16*I16</f>
        <v/>
      </c>
      <c r="M16" s="28" t="inlineStr">
        <is>
          <t>Baja</t>
        </is>
      </c>
      <c r="N16" s="21" t="inlineStr">
        <is>
          <t>Lo exige el agente de la fase F4: identificarse ante los sitios y respetar rate-limits pide IP fija.</t>
        </is>
      </c>
    </row>
    <row r="17" ht="32" customHeight="1">
      <c r="A17" s="25" t="inlineStr">
        <is>
          <t>Red</t>
        </is>
      </c>
      <c r="B17" s="26" t="inlineStr">
        <is>
          <t>CDN</t>
        </is>
      </c>
      <c r="C17" s="21" t="inlineStr">
        <is>
          <t>SPA y estáticos, ~100 GB/mes</t>
        </is>
      </c>
      <c r="D17" s="27" t="inlineStr">
        <is>
          <t>US$/GB</t>
        </is>
      </c>
      <c r="E17" s="28" t="n">
        <v>1</v>
      </c>
      <c r="F17" s="28" t="n">
        <v>100</v>
      </c>
      <c r="G17" s="29" t="n">
        <v>0.06</v>
      </c>
      <c r="H17" s="29" t="n">
        <v>0.08</v>
      </c>
      <c r="I17" s="29" t="n">
        <v>0.11</v>
      </c>
      <c r="J17" s="30">
        <f>$E17*$F17*G17</f>
        <v/>
      </c>
      <c r="K17" s="31">
        <f>$E17*$F17*H17</f>
        <v/>
      </c>
      <c r="L17" s="30">
        <f>$E17*$F17*I17</f>
        <v/>
      </c>
      <c r="M17" s="28" t="inlineStr">
        <is>
          <t>Baja</t>
        </is>
      </c>
      <c r="N17" s="21" t="inlineStr">
        <is>
          <t>Con usuarios repartidos deja de tener sentido servir la SPA desde el ECS.</t>
        </is>
      </c>
    </row>
    <row r="18" ht="32" customHeight="1">
      <c r="A18" s="25" t="inlineStr">
        <is>
          <t>Red</t>
        </is>
      </c>
      <c r="B18" s="26" t="inlineStr">
        <is>
          <t>WAF</t>
        </is>
      </c>
      <c r="C18" s="21" t="inlineStr">
        <is>
          <t>Modo nube, edición estándar</t>
        </is>
      </c>
      <c r="D18" s="27" t="inlineStr">
        <is>
          <t>US$/mes</t>
        </is>
      </c>
      <c r="E18" s="28" t="n">
        <v>1</v>
      </c>
      <c r="F18" s="28" t="n">
        <v>1</v>
      </c>
      <c r="G18" s="29" t="n">
        <v>30</v>
      </c>
      <c r="H18" s="29" t="n">
        <v>45</v>
      </c>
      <c r="I18" s="29" t="n">
        <v>70</v>
      </c>
      <c r="J18" s="30">
        <f>$E18*$F18*G18</f>
        <v/>
      </c>
      <c r="K18" s="31">
        <f>$E18*$F18*H18</f>
        <v/>
      </c>
      <c r="L18" s="30">
        <f>$E18*$F18*I18</f>
        <v/>
      </c>
      <c r="M18" s="28" t="inlineStr">
        <is>
          <t>Baja</t>
        </is>
      </c>
      <c r="N18" s="21" t="inlineStr">
        <is>
          <t>Un servicio institucional expuesto a internet con datos de terceros. Recortable si el CITE acepta el riesgo.</t>
        </is>
      </c>
    </row>
    <row r="19" ht="32" customHeight="1">
      <c r="A19" s="25" t="inlineStr">
        <is>
          <t>Operación</t>
        </is>
      </c>
      <c r="B19" s="26" t="inlineStr">
        <is>
          <t>LTS — logs</t>
        </is>
      </c>
      <c r="C19" s="21" t="inlineStr">
        <is>
          <t>~10 GB/mes de 2 nodos</t>
        </is>
      </c>
      <c r="D19" s="27" t="inlineStr">
        <is>
          <t>US$/GB</t>
        </is>
      </c>
      <c r="E19" s="28" t="n">
        <v>1</v>
      </c>
      <c r="F19" s="28" t="n">
        <v>10</v>
      </c>
      <c r="G19" s="29" t="n">
        <v>0.3</v>
      </c>
      <c r="H19" s="29" t="n">
        <v>0.4</v>
      </c>
      <c r="I19" s="29" t="n">
        <v>0.5</v>
      </c>
      <c r="J19" s="30">
        <f>$E19*$F19*G19</f>
        <v/>
      </c>
      <c r="K19" s="31">
        <f>$E19*$F19*H19</f>
        <v/>
      </c>
      <c r="L19" s="30">
        <f>$E19*$F19*I19</f>
        <v/>
      </c>
      <c r="M19" s="28" t="inlineStr">
        <is>
          <t>Baja</t>
        </is>
      </c>
      <c r="N19" s="21" t="inlineStr">
        <is>
          <t>Más nodos y más tráfico.</t>
        </is>
      </c>
    </row>
    <row r="20" ht="32" customHeight="1">
      <c r="A20" s="25" t="inlineStr">
        <is>
          <t>Operación</t>
        </is>
      </c>
      <c r="B20" s="26" t="inlineStr">
        <is>
          <t>CES + SMN</t>
        </is>
      </c>
      <c r="C20" s="21" t="inlineStr">
        <is>
          <t>Alarmas y notificación</t>
        </is>
      </c>
      <c r="D20" s="27" t="inlineStr">
        <is>
          <t>US$/mes</t>
        </is>
      </c>
      <c r="E20" s="28" t="n">
        <v>1</v>
      </c>
      <c r="F20" s="28" t="n">
        <v>1</v>
      </c>
      <c r="G20" s="29" t="n">
        <v>1</v>
      </c>
      <c r="H20" s="29" t="n">
        <v>2</v>
      </c>
      <c r="I20" s="29" t="n">
        <v>4</v>
      </c>
      <c r="J20" s="30">
        <f>$E20*$F20*G20</f>
        <v/>
      </c>
      <c r="K20" s="31">
        <f>$E20*$F20*H20</f>
        <v/>
      </c>
      <c r="L20" s="30">
        <f>$E20*$F20*I20</f>
        <v/>
      </c>
      <c r="M20" s="28" t="inlineStr">
        <is>
          <t>Media</t>
        </is>
      </c>
      <c r="N20" s="21" t="inlineStr">
        <is>
          <t>Más métricas y más destinatarios.</t>
        </is>
      </c>
    </row>
    <row r="21" ht="32" customHeight="1">
      <c r="A21" s="25" t="inlineStr">
        <is>
          <t>Operación</t>
        </is>
      </c>
      <c r="B21" s="26" t="inlineStr">
        <is>
          <t>DNS</t>
        </is>
      </c>
      <c r="C21" s="21" t="inlineStr">
        <is>
          <t>1 zona pública</t>
        </is>
      </c>
      <c r="D21" s="27" t="inlineStr">
        <is>
          <t>US$/mes</t>
        </is>
      </c>
      <c r="E21" s="28" t="n">
        <v>1</v>
      </c>
      <c r="F21" s="28" t="n">
        <v>1</v>
      </c>
      <c r="G21" s="29" t="n">
        <v>0.5</v>
      </c>
      <c r="H21" s="29" t="n">
        <v>0.5</v>
      </c>
      <c r="I21" s="29" t="n">
        <v>0.5</v>
      </c>
      <c r="J21" s="30">
        <f>$E21*$F21*G21</f>
        <v/>
      </c>
      <c r="K21" s="31">
        <f>$E21*$F21*H21</f>
        <v/>
      </c>
      <c r="L21" s="30">
        <f>$E21*$F21*I21</f>
        <v/>
      </c>
      <c r="M21" s="28" t="inlineStr">
        <is>
          <t>Media</t>
        </is>
      </c>
      <c r="N21" s="21" t="inlineStr">
        <is>
          <t>Igual que en el MVP.</t>
        </is>
      </c>
    </row>
    <row r="22" ht="32" customHeight="1">
      <c r="A22" s="25" t="inlineStr">
        <is>
          <t>Operación</t>
        </is>
      </c>
      <c r="B22" s="26" t="inlineStr">
        <is>
          <t>Soporte de pago (opcional)</t>
        </is>
      </c>
      <c r="C22" s="21" t="inlineStr">
        <is>
          <t>Plan Business</t>
        </is>
      </c>
      <c r="D22" s="27" t="inlineStr">
        <is>
          <t>US$/mes</t>
        </is>
      </c>
      <c r="E22" s="28" t="n">
        <v>0</v>
      </c>
      <c r="F22" s="28" t="n">
        <v>1</v>
      </c>
      <c r="G22" s="29" t="n">
        <v>100</v>
      </c>
      <c r="H22" s="29" t="n">
        <v>150</v>
      </c>
      <c r="I22" s="29" t="n">
        <v>200</v>
      </c>
      <c r="J22" s="30">
        <f>$E22*$F22*G22</f>
        <v/>
      </c>
      <c r="K22" s="31">
        <f>$E22*$F22*H22</f>
        <v/>
      </c>
      <c r="L22" s="30">
        <f>$E22*$F22*I22</f>
        <v/>
      </c>
      <c r="M22" s="28" t="inlineStr">
        <is>
          <t>Baja</t>
        </is>
      </c>
      <c r="N22" s="21" t="inlineStr">
        <is>
          <t>Cantidad en 0: el plan Basic es gratuito. Un servicio institucional con SLA suele necesitar más.</t>
        </is>
      </c>
    </row>
    <row r="24">
      <c r="B24" s="14" t="inlineStr">
        <is>
          <t>SUBTOTALES POR CATEGORÍA</t>
        </is>
      </c>
    </row>
    <row r="25">
      <c r="B25" s="14" t="inlineStr">
        <is>
          <t>Cómputo</t>
        </is>
      </c>
      <c r="J25" s="9">
        <f>SUMIF($A$5:$A$22,$B25,J$5:J$22)</f>
        <v/>
      </c>
      <c r="K25" s="9">
        <f>SUMIF($A$5:$A$22,$B25,K$5:K$22)</f>
        <v/>
      </c>
      <c r="L25" s="9">
        <f>SUMIF($A$5:$A$22,$B25,L$5:L$22)</f>
        <v/>
      </c>
    </row>
    <row r="26">
      <c r="B26" s="14" t="inlineStr">
        <is>
          <t>Base de datos</t>
        </is>
      </c>
      <c r="J26" s="9">
        <f>SUMIF($A$5:$A$22,$B26,J$5:J$22)</f>
        <v/>
      </c>
      <c r="K26" s="9">
        <f>SUMIF($A$5:$A$22,$B26,K$5:K$22)</f>
        <v/>
      </c>
      <c r="L26" s="9">
        <f>SUMIF($A$5:$A$22,$B26,L$5:L$22)</f>
        <v/>
      </c>
    </row>
    <row r="27">
      <c r="B27" s="14" t="inlineStr">
        <is>
          <t>Almacenamiento</t>
        </is>
      </c>
      <c r="J27" s="9">
        <f>SUMIF($A$5:$A$22,$B27,J$5:J$22)</f>
        <v/>
      </c>
      <c r="K27" s="9">
        <f>SUMIF($A$5:$A$22,$B27,K$5:K$22)</f>
        <v/>
      </c>
      <c r="L27" s="9">
        <f>SUMIF($A$5:$A$22,$B27,L$5:L$22)</f>
        <v/>
      </c>
    </row>
    <row r="28">
      <c r="B28" s="14" t="inlineStr">
        <is>
          <t>Red</t>
        </is>
      </c>
      <c r="J28" s="9">
        <f>SUMIF($A$5:$A$22,$B28,J$5:J$22)</f>
        <v/>
      </c>
      <c r="K28" s="9">
        <f>SUMIF($A$5:$A$22,$B28,K$5:K$22)</f>
        <v/>
      </c>
      <c r="L28" s="9">
        <f>SUMIF($A$5:$A$22,$B28,L$5:L$22)</f>
        <v/>
      </c>
    </row>
    <row r="29">
      <c r="B29" s="14" t="inlineStr">
        <is>
          <t>Operación</t>
        </is>
      </c>
      <c r="J29" s="9">
        <f>SUMIF($A$5:$A$22,$B29,J$5:J$22)</f>
        <v/>
      </c>
      <c r="K29" s="9">
        <f>SUMIF($A$5:$A$22,$B29,K$5:K$22)</f>
        <v/>
      </c>
      <c r="L29" s="9">
        <f>SUMIF($A$5:$A$22,$B29,L$5:L$22)</f>
        <v/>
      </c>
    </row>
    <row r="31">
      <c r="B31" s="18" t="inlineStr">
        <is>
          <t>TOTAL INFRAESTRUCTURA PRODUCCIÓN (mes)</t>
        </is>
      </c>
      <c r="J31" s="32">
        <f>SUM(J25:J29)</f>
        <v/>
      </c>
      <c r="K31" s="32">
        <f>SUM(K25:K29)</f>
        <v/>
      </c>
      <c r="L31" s="32">
        <f>SUM(L25:L29)</f>
        <v/>
      </c>
    </row>
    <row r="33">
      <c r="B33" s="18" t="inlineStr">
        <is>
          <t>PALANCAS DE RECORTE — qué se ahorra y qué se pierde</t>
        </is>
      </c>
    </row>
    <row r="34" ht="30" customHeight="1">
      <c r="A34" s="3" t="inlineStr"/>
      <c r="B34" s="3" t="inlineStr">
        <is>
          <t>Palanca</t>
        </is>
      </c>
      <c r="C34" s="3" t="inlineStr">
        <is>
          <t>Ahorro mensual</t>
        </is>
      </c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>
        <is>
          <t>Qué se pierde</t>
        </is>
      </c>
    </row>
    <row r="35" ht="28" customHeight="1">
      <c r="B35" s="4" t="inlineStr">
        <is>
          <t>RDS sin alta disponibilidad</t>
        </is>
      </c>
      <c r="C35" s="6">
        <f>-Produccion!$K$8/2</f>
        <v/>
      </c>
      <c r="N35" s="7" t="inlineStr">
        <is>
          <t>Vuelve al nodo único: una caída de la base es una restauración manual, no una conmutación.</t>
        </is>
      </c>
    </row>
    <row r="36" ht="28" customHeight="1">
      <c r="B36" s="4" t="inlineStr">
        <is>
          <t>Sin WAF</t>
        </is>
      </c>
      <c r="C36" s="6">
        <f>-Produccion!$K$18</f>
        <v/>
      </c>
      <c r="N36" s="7" t="inlineStr">
        <is>
          <t>El servicio queda expuesto sin filtro de aplicación. Decisión del CITE, no técnica.</t>
        </is>
      </c>
    </row>
    <row r="37" ht="28" customHeight="1">
      <c r="B37" s="4" t="inlineStr">
        <is>
          <t>Sin NAT Gateway</t>
        </is>
      </c>
      <c r="C37" s="6">
        <f>-Produccion!$K$16</f>
        <v/>
      </c>
      <c r="N37" s="7" t="inlineStr">
        <is>
          <t>El agente web sale sin IP fija: peor ciudadanía ante los sitios y riesgo de bloqueo.</t>
        </is>
      </c>
    </row>
    <row r="38" ht="28" customHeight="1">
      <c r="B38" s="4" t="inlineStr">
        <is>
          <t>Un solo nodo de API (sin ELB)</t>
        </is>
      </c>
      <c r="C38" s="6">
        <f>-Produccion!$K$5/2-Produccion!$K$7</f>
        <v/>
      </c>
      <c r="N38" s="7" t="inlineStr">
        <is>
          <t>Se acaba la alta disponibilidad del cómputo y las ventanas de despliegue sin corte.</t>
        </is>
      </c>
    </row>
    <row r="39" ht="28" customHeight="1">
      <c r="B39" s="4" t="inlineStr">
        <is>
          <t>Sin CDN</t>
        </is>
      </c>
      <c r="C39" s="6">
        <f>-Produccion!$K$17</f>
        <v/>
      </c>
      <c r="N39" s="7" t="inlineStr">
        <is>
          <t>La SPA se sirve desde el ECS. Aceptable si los usuarios están todos en Perú.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2" customWidth="1" min="4" max="4"/>
    <col width="60" customWidth="1" min="5" max="5"/>
  </cols>
  <sheetData>
    <row r="1">
      <c r="A1" s="1" t="inlineStr">
        <is>
          <t>Proyección de usuarios por escenario</t>
        </is>
      </c>
    </row>
    <row r="2">
      <c r="A2" s="2" t="inlineStr">
        <is>
          <t>Cuánta gente sostiene cada escenario, y qué se agota primero: la máquina o el presupuesto</t>
        </is>
      </c>
    </row>
    <row r="4" ht="30" customHeight="1">
      <c r="A4" s="3" t="inlineStr">
        <is>
          <t>Supuesto del modelo</t>
        </is>
      </c>
      <c r="B4" s="3" t="inlineStr">
        <is>
          <t>Valor</t>
        </is>
      </c>
      <c r="C4" s="3" t="inlineStr">
        <is>
          <t>Unidad</t>
        </is>
      </c>
      <c r="D4" s="3" t="inlineStr">
        <is>
          <t>De dónde sale</t>
        </is>
      </c>
    </row>
    <row r="5" ht="30" customHeight="1">
      <c r="A5" s="4" t="inlineStr">
        <is>
          <t>Consultas por usuario activo al mes</t>
        </is>
      </c>
      <c r="B5" s="35" t="n">
        <v>10</v>
      </c>
      <c r="C5" s="4" t="inlineStr">
        <is>
          <t>consultas</t>
        </is>
      </c>
      <c r="D5" s="21" t="inlineStr">
        <is>
          <t>EDITAR. Un analista del CITE evaluando insumos no consulta a diario: 10/mes es un uso real y sostenido.</t>
        </is>
      </c>
    </row>
    <row r="6" ht="30" customHeight="1">
      <c r="A6" s="4" t="inlineStr">
        <is>
          <t>Usuarios activos sobre registrados</t>
        </is>
      </c>
      <c r="B6" s="24" t="n">
        <v>0.5</v>
      </c>
      <c r="C6" s="4" t="inlineStr">
        <is>
          <t>%</t>
        </is>
      </c>
      <c r="D6" s="21" t="inlineStr">
        <is>
          <t>EDITAR. La mitad de las cuentas creadas usa el sistema en un mes dado. En piloto institucional suele ser menos.</t>
        </is>
      </c>
    </row>
    <row r="7" ht="30" customHeight="1">
      <c r="A7" s="4" t="inlineStr">
        <is>
          <t>Usuarios por organización</t>
        </is>
      </c>
      <c r="B7" s="35" t="n">
        <v>3</v>
      </c>
      <c r="C7" s="4" t="inlineStr">
        <is>
          <t>usuarios</t>
        </is>
      </c>
      <c r="D7" s="21" t="inlineStr">
        <is>
          <t>EDITAR. Para traducir usuarios a organizaciones, que es la unidad del ADR-003 y del contrato.</t>
        </is>
      </c>
    </row>
    <row r="8" ht="30" customHeight="1">
      <c r="A8" s="4" t="inlineStr">
        <is>
          <t>Duración media de un run (extremo a extremo)</t>
        </is>
      </c>
      <c r="B8" s="35" t="n">
        <v>25</v>
      </c>
      <c r="C8" s="4" t="inlineStr">
        <is>
          <t>segundos</t>
        </is>
      </c>
      <c r="D8" s="21" t="inlineStr">
        <is>
          <t>Dominada por el LLM: 5 etapas con generación de 3-10 s cada una. La búsqueda vectorial aporta 176 ms.</t>
        </is>
      </c>
    </row>
    <row r="9" ht="30" customHeight="1">
      <c r="A9" s="4" t="inlineStr">
        <is>
          <t>CPU bloqueante por run</t>
        </is>
      </c>
      <c r="B9" s="23" t="n">
        <v>3.5</v>
      </c>
      <c r="C9" s="4" t="inlineStr">
        <is>
          <t>segundos</t>
        </is>
      </c>
      <c r="D9" s="21" t="inlineStr">
        <is>
          <t>Lo único que NO es asíncrono: embedding + búsqueda LanceDB (~0,5 s) y generación del PDF con WeasyPrint (~3 s). ESTIMADO: conviene medirlo con una prueba de carga antes de comprometer capacidad.</t>
        </is>
      </c>
    </row>
    <row r="10" ht="30" customHeight="1">
      <c r="A10" s="4" t="inlineStr">
        <is>
          <t>Utilización objetivo del nodo</t>
        </is>
      </c>
      <c r="B10" s="24" t="n">
        <v>0.3</v>
      </c>
      <c r="C10" s="4" t="inlineStr">
        <is>
          <t>%</t>
        </is>
      </c>
      <c r="D10" s="21" t="inlineStr">
        <is>
          <t>No se planifica al 100 %: por encima del 30 % de ocupación del bucle de eventos la latencia p95 se dispara.</t>
        </is>
      </c>
    </row>
    <row r="11" ht="30" customHeight="1">
      <c r="A11" s="4" t="inlineStr">
        <is>
          <t>Días laborables al mes</t>
        </is>
      </c>
      <c r="B11" s="35" t="n">
        <v>22</v>
      </c>
      <c r="C11" s="4" t="inlineStr">
        <is>
          <t>días</t>
        </is>
      </c>
      <c r="D11" s="21" t="inlineStr">
        <is>
          <t>El CITE consulta en horario de oficina.</t>
        </is>
      </c>
    </row>
    <row r="12" ht="30" customHeight="1">
      <c r="A12" s="4" t="inlineStr">
        <is>
          <t>Carga concentrada en la hora punta</t>
        </is>
      </c>
      <c r="B12" s="24" t="n">
        <v>0.25</v>
      </c>
      <c r="C12" s="4" t="inlineStr">
        <is>
          <t>%</t>
        </is>
      </c>
      <c r="D12" s="21" t="inlineStr">
        <is>
          <t>Un cuarto de la jornada se concentra en una hora. Regla de planificación habitual.</t>
        </is>
      </c>
    </row>
    <row r="13" ht="30" customHeight="1">
      <c r="A13" s="4" t="inlineStr">
        <is>
          <t>Tope global de LLM configurado</t>
        </is>
      </c>
      <c r="B13" s="35" t="n">
        <v>10</v>
      </c>
      <c r="C13" s="4" t="inlineStr">
        <is>
          <t>US$/mes</t>
        </is>
      </c>
      <c r="D13" s="21" t="inlineStr">
        <is>
          <t>PRESUPUESTO_GLOBAL_MES_USD del .env. Es el kill-switch: al superarse nadie ejecuta LLM.</t>
        </is>
      </c>
    </row>
    <row r="15" ht="30" customHeight="1">
      <c r="A15" s="3" t="inlineStr">
        <is>
          <t>Métrica</t>
        </is>
      </c>
      <c r="B15" s="3" t="inlineStr">
        <is>
          <t>A · Demo y ensayos</t>
        </is>
      </c>
      <c r="C15" s="3" t="inlineStr">
        <is>
          <t>B · MVP 24×7</t>
        </is>
      </c>
      <c r="D15" s="3" t="inlineStr">
        <is>
          <t>C · Producción CITE</t>
        </is>
      </c>
      <c r="E15" s="3" t="inlineStr">
        <is>
          <t>Cómo se calcula</t>
        </is>
      </c>
    </row>
    <row r="16" ht="26" customHeight="1">
      <c r="A16" s="4" t="inlineStr">
        <is>
          <t>Runs premium al mes</t>
        </is>
      </c>
      <c r="B16" s="35" t="n">
        <v>20</v>
      </c>
      <c r="C16" s="36">
        <f>Parametros!$B$11</f>
        <v/>
      </c>
      <c r="D16" s="35" t="n">
        <v>500</v>
      </c>
      <c r="E16" s="7" t="inlineStr">
        <is>
          <t>A: ensayos del equipo. B: parámetro. C: fase 2 del ADR-003.</t>
        </is>
      </c>
    </row>
    <row r="17" ht="26" customHeight="1">
      <c r="A17" s="4" t="inlineStr">
        <is>
          <t>Runs gratuitos al mes</t>
        </is>
      </c>
      <c r="B17" s="35" t="n">
        <v>0</v>
      </c>
      <c r="C17" s="36">
        <f>'LLM-MaaS'!$B$8</f>
        <v/>
      </c>
      <c r="D17" s="35" t="n">
        <v>2000</v>
      </c>
      <c r="E17" s="7" t="inlineStr">
        <is>
          <t>El plan gratuito corta en la etapa 3; cuesta ~4× menos por run.</t>
        </is>
      </c>
    </row>
    <row r="18" ht="26" customHeight="1">
      <c r="A18" s="4" t="inlineStr">
        <is>
          <t>Runs totales al mes</t>
        </is>
      </c>
      <c r="B18" s="37">
        <f>B16+B17</f>
        <v/>
      </c>
      <c r="C18" s="37">
        <f>C16+C17</f>
        <v/>
      </c>
      <c r="D18" s="37">
        <f>D16+D17</f>
        <v/>
      </c>
      <c r="E18" s="7" t="inlineStr"/>
    </row>
    <row r="19" ht="26" customHeight="1">
      <c r="A19" s="38" t="inlineStr">
        <is>
          <t>USUARIOS ACTIVOS que sostiene</t>
        </is>
      </c>
      <c r="B19" s="39">
        <f>B18/$B$5</f>
        <v/>
      </c>
      <c r="C19" s="39">
        <f>C18/$B$5</f>
        <v/>
      </c>
      <c r="D19" s="39">
        <f>D18/$B$5</f>
        <v/>
      </c>
      <c r="E19" s="7" t="inlineStr">
        <is>
          <t>Runs totales ÷ consultas por usuario activo.</t>
        </is>
      </c>
    </row>
    <row r="20" ht="26" customHeight="1">
      <c r="A20" s="4" t="inlineStr">
        <is>
          <t>Usuarios registrados equivalentes</t>
        </is>
      </c>
      <c r="B20" s="40">
        <f>B19/$B$6</f>
        <v/>
      </c>
      <c r="C20" s="40">
        <f>C19/$B$6</f>
        <v/>
      </c>
      <c r="D20" s="40">
        <f>D19/$B$6</f>
        <v/>
      </c>
      <c r="E20" s="7" t="inlineStr">
        <is>
          <t>Activos ÷ tasa de actividad.</t>
        </is>
      </c>
    </row>
    <row r="21" ht="26" customHeight="1">
      <c r="A21" s="4" t="inlineStr">
        <is>
          <t>Organizaciones equivalentes</t>
        </is>
      </c>
      <c r="B21" s="40">
        <f>B20/$B$7</f>
        <v/>
      </c>
      <c r="C21" s="40">
        <f>C20/$B$7</f>
        <v/>
      </c>
      <c r="D21" s="40">
        <f>D20/$B$7</f>
        <v/>
      </c>
      <c r="E21" s="7" t="inlineStr">
        <is>
          <t>La unidad del ADR-003 y del contrato multi-cooperativa.</t>
        </is>
      </c>
    </row>
    <row r="22" ht="26" customHeight="1">
      <c r="A22" s="4" t="inlineStr">
        <is>
          <t>Consultas por día laborable</t>
        </is>
      </c>
      <c r="B22" s="37">
        <f>B18/$B$11</f>
        <v/>
      </c>
      <c r="C22" s="37">
        <f>C18/$B$11</f>
        <v/>
      </c>
      <c r="D22" s="37">
        <f>D18/$B$11</f>
        <v/>
      </c>
      <c r="E22" s="7" t="inlineStr"/>
    </row>
    <row r="23" ht="26" customHeight="1">
      <c r="A23" s="4" t="inlineStr">
        <is>
          <t>Consultas en la hora punta</t>
        </is>
      </c>
      <c r="B23" s="37">
        <f>B21*$B$12</f>
        <v/>
      </c>
      <c r="C23" s="37">
        <f>C21*$B$12</f>
        <v/>
      </c>
      <c r="D23" s="37">
        <f>D21*$B$12</f>
        <v/>
      </c>
      <c r="E23" s="7" t="inlineStr"/>
    </row>
    <row r="24" ht="26" customHeight="1">
      <c r="A24" s="4" t="inlineStr">
        <is>
          <t>Runs simultáneos en el pico</t>
        </is>
      </c>
      <c r="B24" s="37">
        <f>B22*$B$8/3600</f>
        <v/>
      </c>
      <c r="C24" s="37">
        <f>C22*$B$8/3600</f>
        <v/>
      </c>
      <c r="D24" s="37">
        <f>D22*$B$8/3600</f>
        <v/>
      </c>
      <c r="E24" s="7" t="inlineStr">
        <is>
          <t>Ley de Little: llegadas × duración. Menos de 1 significa que casi nunca coinciden dos consultas.</t>
        </is>
      </c>
    </row>
    <row r="25" ht="26" customHeight="1">
      <c r="A25" s="4" t="inlineStr">
        <is>
          <t>Coste total mensual</t>
        </is>
      </c>
      <c r="B25" s="41">
        <f>Escenarios!$B$9</f>
        <v/>
      </c>
      <c r="C25" s="41">
        <f>Escenarios!$C$9</f>
        <v/>
      </c>
      <c r="D25" s="41">
        <f>Escenarios!$D$9</f>
        <v/>
      </c>
      <c r="E25" s="7" t="inlineStr">
        <is>
          <t>De la hoja 'Escenarios'.</t>
        </is>
      </c>
    </row>
    <row r="26" ht="26" customHeight="1">
      <c r="A26" s="38" t="inlineStr">
        <is>
          <t>COSTE POR USUARIO ACTIVO / mes</t>
        </is>
      </c>
      <c r="B26" s="42">
        <f>B24/B19</f>
        <v/>
      </c>
      <c r="C26" s="42">
        <f>C24/C19</f>
        <v/>
      </c>
      <c r="D26" s="42">
        <f>D24/D19</f>
        <v/>
      </c>
      <c r="E26" s="7" t="inlineStr">
        <is>
          <t>El número que hay que comparar con el precio de la suscripción premium.</t>
        </is>
      </c>
    </row>
    <row r="27" ht="26" customHeight="1">
      <c r="A27" s="4" t="inlineStr">
        <is>
          <t>Coste por consulta</t>
        </is>
      </c>
      <c r="B27" s="41">
        <f>B24/B18</f>
        <v/>
      </c>
      <c r="C27" s="41">
        <f>C24/C18</f>
        <v/>
      </c>
      <c r="D27" s="41">
        <f>D24/D18</f>
        <v/>
      </c>
      <c r="E27" s="7" t="inlineStr">
        <is>
          <t>Incluye infraestructura, no solo el LLM.</t>
        </is>
      </c>
    </row>
    <row r="29">
      <c r="A29" s="43" t="inlineStr">
        <is>
          <t>¿QUÉ SE AGOTA PRIMERO?</t>
        </is>
      </c>
    </row>
    <row r="30" ht="30" customHeight="1">
      <c r="A30" s="3" t="inlineStr">
        <is>
          <t>Techo</t>
        </is>
      </c>
      <c r="B30" s="3" t="inlineStr">
        <is>
          <t>Usuarios activos</t>
        </is>
      </c>
      <c r="C30" s="3" t="inlineStr"/>
      <c r="D30" s="3" t="inlineStr"/>
      <c r="E30" s="3" t="inlineStr">
        <is>
          <t>Qué lo produce</t>
        </is>
      </c>
    </row>
    <row r="31" ht="40" customHeight="1">
      <c r="A31" s="4" t="inlineStr">
        <is>
          <t>Techo por PRESUPUESTO de LLM (kill-switch actual)</t>
        </is>
      </c>
      <c r="B31" s="44">
        <f>($B$13/'LLM-MaaS'!$B$5)/$B$5</f>
        <v/>
      </c>
      <c r="C31" s="45" t="n"/>
      <c r="D31" s="45" t="n"/>
      <c r="E31" s="7" t="inlineStr">
        <is>
          <t>Con el tope global en US$ 10/mes y US$ 0,21 por run premium, la aplicación deja de llamar al LLM al llegar a ~48 consultas premium. Es una decisión de configuración, no un límite físico.</t>
        </is>
      </c>
    </row>
    <row r="32" ht="40" customHeight="1">
      <c r="A32" s="4" t="inlineStr">
        <is>
          <t>Techo de CÓMPUTO de un nodo</t>
        </is>
      </c>
      <c r="B32" s="44">
        <f>(3600/$B$9*$B$10*8*$B$11)/$B$5</f>
        <v/>
      </c>
      <c r="C32" s="45" t="n"/>
      <c r="D32" s="45" t="n"/>
      <c r="E32" s="7" t="inlineStr">
        <is>
          <t>Con 3,5 s de CPU bloqueante por run al 30 % de ocupación, 8 h/día, 22 días. La RAM no entra: bge-m3 ocupa 2,3 GB fijos, no crece con los usuarios.</t>
        </is>
      </c>
    </row>
    <row r="33" ht="40" customHeight="1">
      <c r="A33" s="4" t="inlineStr">
        <is>
          <t>Techo del POOL de conexiones a la base</t>
        </is>
      </c>
      <c r="B33" s="44">
        <f>5*3600/$B$8/$B$5*8*$B$11</f>
        <v/>
      </c>
      <c r="C33" s="45" t="n"/>
      <c r="D33" s="45" t="n"/>
      <c r="E33" s="7" t="inlineStr">
        <is>
          <t>adaptadores/db.py abre el pool con max_size=5. Cinco operaciones simultáneas de base, no cinco usuarios: cada run las usa unos milisegundos.</t>
        </is>
      </c>
    </row>
    <row r="34">
      <c r="A34" s="46" t="inlineStr">
        <is>
          <t>CUELLO DE BOTELLA REAL (el menor de los tres)</t>
        </is>
      </c>
      <c r="B34" s="47">
        <f>MIN(B31:B33)</f>
        <v/>
      </c>
    </row>
    <row r="36">
      <c r="A36" s="18" t="inlineStr">
        <is>
          <t>Lectura de la proyección</t>
        </is>
      </c>
    </row>
    <row r="37" ht="46" customHeight="1">
      <c r="A37" s="19" t="inlineStr">
        <is>
          <t>1. La máquina no es el límite: nunca. Un solo nodo de 4 vCPU sostiene del orden de MILES de usuarios activos, porque un run pasa 25 s esperando al LLM y solo ~3,5 s ocupando CPU. Los dos nodos y el balanceador del escenario C se pagan por DISPONIBILIDAD, no por capacidad: si uno se cae, el servicio sigue.</t>
        </is>
      </c>
    </row>
    <row r="38" ht="46" customHeight="1">
      <c r="A38" s="19" t="inlineStr">
        <is>
          <t>2. El límite real es el dinero del LLM, y hoy está puesto muy bajo. Con el kill-switch en US$ 10/mes, el sistema atiende ~5 usuarios activos antes de degradar a 'sin dato'. Para el CDR es correcto; para un piloto con el CITE hay que subirlo a conciencia y decir cuánto cuesta cada tramo.</t>
        </is>
      </c>
    </row>
    <row r="39" ht="46" customHeight="1">
      <c r="A39" s="19" t="inlineStr">
        <is>
          <t>3. El coste por usuario baja rápido con la escala: el grueso de la factura es fijo (ECS, RDS, EIP) y solo el LLM crece con el uso. Es el argumento económico del paywall: la cuota por plan es lo que impide que un usuario intensivo se coma el margen.</t>
        </is>
      </c>
    </row>
    <row r="40" ht="46" customHeight="1">
      <c r="A40" s="19" t="inlineStr">
        <is>
          <t>4. Lo que hay que medir antes de firmar capacidad: los 3,5 s de CPU bloqueante por run son una ESTIMACIÓN. La generación del PDF es síncrona y bloquea el bucle de eventos; si resulta ser el doble, el techo de cómputo se parte por dos (y seguiría estando muy por encima de la demanda).</t>
        </is>
      </c>
    </row>
  </sheetData>
  <mergeCells count="4">
    <mergeCell ref="A39:E39"/>
    <mergeCell ref="A40:E40"/>
    <mergeCell ref="A37:E37"/>
    <mergeCell ref="A38:E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2" customWidth="1" min="4" max="4"/>
    <col width="70" customWidth="1" min="5" max="5"/>
  </cols>
  <sheetData>
    <row r="1">
      <c r="A1" s="1" t="inlineStr">
        <is>
          <t>Escenarios de uso</t>
        </is>
      </c>
    </row>
    <row r="2">
      <c r="A2" s="2" t="inlineStr">
        <is>
          <t>Mismo diseño, tres regímenes de operación</t>
        </is>
      </c>
    </row>
    <row r="4" ht="30" customHeight="1">
      <c r="A4" s="3" t="inlineStr">
        <is>
          <t>Concepto</t>
        </is>
      </c>
      <c r="B4" s="3" t="inlineStr">
        <is>
          <t>A · Demo y ensayos</t>
        </is>
      </c>
      <c r="C4" s="3" t="inlineStr">
        <is>
          <t>B · MVP 24×7</t>
        </is>
      </c>
      <c r="D4" s="3" t="inlineStr">
        <is>
          <t>C · Producción CITE</t>
        </is>
      </c>
      <c r="E4" s="3" t="inlineStr">
        <is>
          <t>Qué cambia</t>
        </is>
      </c>
    </row>
    <row r="5" ht="28" customHeight="1">
      <c r="A5" s="8" t="inlineStr">
        <is>
          <t>Infraestructura Huawei</t>
        </is>
      </c>
      <c r="B5" s="5">
        <f>Detalle!$K$30-(Detalle!$K$5+Detalle!$K$8)*(1-Parametros!$B$7/Parametros!$B$6)</f>
        <v/>
      </c>
      <c r="C5" s="5">
        <f>Detalle!$K$30</f>
        <v/>
      </c>
      <c r="D5" s="5">
        <f>Produccion!$K$31</f>
        <v/>
      </c>
      <c r="E5" s="7" t="inlineStr">
        <is>
          <t>A: ECS y RDS encendidos solo 80 h/mes; el almacenamiento se paga igual. C: hoja 'Produccion', costeada línea por línea (no es un multiplicador).</t>
        </is>
      </c>
    </row>
    <row r="6" ht="28" customHeight="1">
      <c r="A6" s="8" t="inlineStr">
        <is>
          <t>LLM (ModelArts MaaS)</t>
        </is>
      </c>
      <c r="B6" s="5">
        <f>'LLM-MaaS'!$B$5*Usuarios!$B$16</f>
        <v/>
      </c>
      <c r="C6" s="5">
        <f>'LLM-MaaS'!$B$11</f>
        <v/>
      </c>
      <c r="D6" s="5">
        <f>('LLM-MaaS'!$B$5*Usuarios!$D$16+'LLM-MaaS'!$B$6*Usuarios!$D$17)*(1-'LLM-MaaS'!$B$9)</f>
        <v/>
      </c>
      <c r="E6" s="7" t="inlineStr">
        <is>
          <t>Volúmenes definidos en la hoja 'Usuarios'. C: 500 premium + 2.000 gratuitos, con el ahorro de cache.</t>
        </is>
      </c>
    </row>
    <row r="7" ht="28" customHeight="1">
      <c r="A7" s="8" t="inlineStr">
        <is>
          <t>Subtotal mensual (US$)</t>
        </is>
      </c>
      <c r="B7" s="5">
        <f>B5+B6</f>
        <v/>
      </c>
      <c r="C7" s="5">
        <f>C5+C6</f>
        <v/>
      </c>
      <c r="D7" s="5">
        <f>D5+D6</f>
        <v/>
      </c>
      <c r="E7" s="7" t="inlineStr"/>
    </row>
    <row r="8" ht="28" customHeight="1">
      <c r="A8" s="8" t="inlineStr">
        <is>
          <t>Impuestos</t>
        </is>
      </c>
      <c r="B8" s="5">
        <f>B7*Parametros!$B$9</f>
        <v/>
      </c>
      <c r="C8" s="5">
        <f>C7*Parametros!$B$9</f>
        <v/>
      </c>
      <c r="D8" s="5">
        <f>D7*Parametros!$B$9</f>
        <v/>
      </c>
      <c r="E8" s="7" t="inlineStr">
        <is>
          <t>0 % si se factura directo con Huawei Cloud International.</t>
        </is>
      </c>
    </row>
    <row r="9" ht="28" customHeight="1">
      <c r="A9" s="8" t="inlineStr">
        <is>
          <t>TOTAL MENSUAL (US$)</t>
        </is>
      </c>
      <c r="B9" s="48">
        <f>B7+B8</f>
        <v/>
      </c>
      <c r="C9" s="48">
        <f>C7+C8</f>
        <v/>
      </c>
      <c r="D9" s="48">
        <f>D7+D8</f>
        <v/>
      </c>
      <c r="E9" s="7" t="inlineStr"/>
    </row>
    <row r="10" ht="28" customHeight="1">
      <c r="A10" s="8" t="inlineStr">
        <is>
          <t>TOTAL MENSUAL (S/)</t>
        </is>
      </c>
      <c r="B10" s="49">
        <f>B9*Parametros!$B$8</f>
        <v/>
      </c>
      <c r="C10" s="49">
        <f>C9*Parametros!$B$8</f>
        <v/>
      </c>
      <c r="D10" s="49">
        <f>D9*Parametros!$B$8</f>
        <v/>
      </c>
      <c r="E10" s="7" t="inlineStr">
        <is>
          <t>Al tipo de cambio de la hoja 'Parámetros'.</t>
        </is>
      </c>
    </row>
    <row r="11" ht="28" customHeight="1">
      <c r="A11" s="8" t="inlineStr">
        <is>
          <t>TOTAL ANUAL (US$)</t>
        </is>
      </c>
      <c r="B11" s="48">
        <f>B9*12</f>
        <v/>
      </c>
      <c r="C11" s="48">
        <f>C9*12</f>
        <v/>
      </c>
      <c r="D11" s="48">
        <f>D9*12</f>
        <v/>
      </c>
      <c r="E11" s="7" t="inlineStr">
        <is>
          <t>Sin descuento por compromiso.</t>
        </is>
      </c>
    </row>
    <row r="12" ht="28" customHeight="1">
      <c r="A12" s="8" t="inlineStr">
        <is>
          <t>TOTAL ANUAL con compromiso (US$)</t>
        </is>
      </c>
      <c r="B12" s="48">
        <f>B9*12*(1-Parametros!$B$10)</f>
        <v/>
      </c>
      <c r="C12" s="48">
        <f>C9*12*(1-Parametros!$B$10)</f>
        <v/>
      </c>
      <c r="D12" s="48">
        <f>D9*12*(1-Parametros!$B$10)</f>
        <v/>
      </c>
      <c r="E12" s="7" t="inlineStr">
        <is>
          <t>El descuento aplica a ECS y RDS prepagados. Aproximación conservadora: se aplica al total.</t>
        </is>
      </c>
    </row>
    <row r="14">
      <c r="A14" s="18" t="inlineStr">
        <is>
          <t>Cuándo aplica cada escenario</t>
        </is>
      </c>
    </row>
    <row r="15" ht="30" customHeight="1">
      <c r="A15" s="19" t="inlineStr">
        <is>
          <t>A · Demo y ensayos — hasta el CDR del 28 de agosto. Encender ECS y RDS solo para ensayar y presentar. Es el escenario correcto para las próximas cuatro semanas y el más barato con diferencia.</t>
        </is>
      </c>
    </row>
    <row r="16" ht="30" customHeight="1">
      <c r="A16" s="19" t="inlineStr">
        <is>
          <t>B · MVP 24×7 — el CITE empieza a usarlo de verdad y el servicio debe estar disponible. Es la arquitectura de INFRA-HUAWEI-CLOUD.md tal cual.</t>
        </is>
      </c>
    </row>
    <row r="17" ht="30" customHeight="1">
      <c r="A17" s="19" t="inlineStr">
        <is>
          <t>C · Producción CITE — tras la firma: fase 2 del ADR-003 (100-300 organizaciones). Base en alta disponibilidad, dos nodos de API con balanceador, NAT Gateway para el agente, CDN y WAF. Está costeado línea por línea en la hoja 'Produccion', con las palancas de recorte y lo que cuesta cada una.</t>
        </is>
      </c>
    </row>
    <row r="18" ht="30" customHeight="1">
      <c r="A18" s="19" t="inlineStr">
        <is>
          <t>ATENCIÓN: el ADR-003 estimaba 'US$ 200-400/mes en fases 2-3' y el detalle de la hoja 'Produccion' sale por encima. La diferencia está casi entera en tres líneas que el ADR no costeó: RDS en alta disponibilidad, WAF y NAT Gateway. Conviene corregir esa cifra en el ADR antes de que el CITE la lea como compromiso.</t>
        </is>
      </c>
    </row>
  </sheetData>
  <mergeCells count="4">
    <mergeCell ref="A16:E16"/>
    <mergeCell ref="A15:E15"/>
    <mergeCell ref="A17:E17"/>
    <mergeCell ref="A18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88" customWidth="1" min="3" max="3"/>
  </cols>
  <sheetData>
    <row r="1">
      <c r="A1" s="1" t="inlineStr">
        <is>
          <t>Supuestos, fuentes y verificación</t>
        </is>
      </c>
    </row>
    <row r="2">
      <c r="A2" s="2" t="inlineStr">
        <is>
          <t>Cada estimación, de dónde sale y cómo comprobarla</t>
        </is>
      </c>
    </row>
    <row r="4" ht="30" customHeight="1">
      <c r="A4" s="3" t="inlineStr">
        <is>
          <t>Tema</t>
        </is>
      </c>
      <c r="B4" s="3" t="inlineStr">
        <is>
          <t>Supuesto adoptado</t>
        </is>
      </c>
      <c r="C4" s="3" t="inlineStr">
        <is>
          <t>Justificación / cómo verificarlo</t>
        </is>
      </c>
    </row>
    <row r="5" ht="46" customHeight="1">
      <c r="A5" s="50" t="inlineStr">
        <is>
          <t>Origen de los precios</t>
        </is>
      </c>
      <c r="B5" s="21" t="inlineStr">
        <is>
          <t>Estimaciones propias con rango mín/esperado/máx</t>
        </is>
      </c>
      <c r="C5" s="21" t="inlineStr">
        <is>
          <t>Huawei Cloud no publica lista de precios en HTML: solo el calculador (www.huaweicloud.com/intl/en-us/pricing/calculator.html), que es una aplicación JavaScript y no es citable ni automatizable. Se verificó también la página de precios de ECS y el PDF de facturación: explican los modos de cobro, no las tarifas. Por eso el libro trata el precio como ENTRADA.</t>
        </is>
      </c>
    </row>
    <row r="6" ht="46" customHeight="1">
      <c r="A6" s="50" t="inlineStr">
        <is>
          <t>Región</t>
        </is>
      </c>
      <c r="B6" s="21" t="inlineStr">
        <is>
          <t>LA-Santiago</t>
        </is>
      </c>
      <c r="C6" s="21" t="inlineStr">
        <is>
          <t>Es la región de Huawei Cloud más cercana a Perú (~40-60 ms desde Lima). Con la base de datos dentro de la VPC, el RTT a Postgres baja a menos de 2 ms. Exige cuenta Huawei Cloud INTERNATIONAL.</t>
        </is>
      </c>
    </row>
    <row r="7" ht="46" customHeight="1">
      <c r="A7" s="50" t="inlineStr">
        <is>
          <t>Tamaño del ECS</t>
        </is>
      </c>
      <c r="B7" s="21" t="inlineStr">
        <is>
          <t>4 vCPU / 8 GB</t>
        </is>
      </c>
      <c r="C7" s="21" t="inlineStr">
        <is>
          <t>Lo fija bge-m3: ~2,3 GB residentes en RAM (documentado en adaptadores/modelo_embeddings.py); con PyTorch el proceso queda en 3,5-4,5 GB. Con 4 GB no arranca en condiciones. Sin GPU: el gate P03 se midió en CPU con p95 de 176 ms contra un techo de 2 s.</t>
        </is>
      </c>
    </row>
    <row r="8" ht="46" customHeight="1">
      <c r="A8" s="50" t="inlineStr">
        <is>
          <t>Tamaño del RDS</t>
        </is>
      </c>
      <c r="B8" s="21" t="inlineStr">
        <is>
          <t>2 vCPU / 4 GB, nodo único, 40 GB</t>
        </is>
      </c>
      <c r="C8" s="21" t="inlineStr">
        <is>
          <t>El estado de aplicación son kilobytes: ejecuciones, etapas, perfiles y el cache de respuestas LLM. 40 GB es el mínimo que admite el servicio. La alta disponibilidad primario/en espera duplica el importe y se difiere a producción.</t>
        </is>
      </c>
    </row>
    <row r="9" ht="46" customHeight="1">
      <c r="A9" s="50" t="inlineStr">
        <is>
          <t>Almacenamiento de datos</t>
        </is>
      </c>
      <c r="B9" s="21" t="inlineStr">
        <is>
          <t>EVS 100 GB</t>
        </is>
      </c>
      <c r="C9" s="21" t="inlineStr">
        <is>
          <t>Medido en el repositorio: índice LanceDB 135 MB, snapshot 66 MB, PDFs 5,3 MB. Los 100 GB son margen para el snapshot siguiente, logs y PDFs acumulados.</t>
        </is>
      </c>
    </row>
    <row r="10" ht="46" customHeight="1">
      <c r="A10" s="50" t="inlineStr">
        <is>
          <t>Tráfico saliente</t>
        </is>
      </c>
      <c r="B10" s="21" t="inlineStr">
        <is>
          <t>30 GB al mes</t>
        </is>
      </c>
      <c r="C10" s="21" t="inlineStr">
        <is>
          <t>La SPA compilada pesa 173 KB y un informe PDF ~200 KB. 30 GB es holgado para demo y piloto; conviene revisarlo si el CITE publica el acceso a sus asociados.</t>
        </is>
      </c>
    </row>
    <row r="11" ht="46" customHeight="1">
      <c r="A11" s="50" t="inlineStr">
        <is>
          <t>Horas de facturación</t>
        </is>
      </c>
      <c r="B11" s="21" t="inlineStr">
        <is>
          <t>730 h/mes (24×7) · 80 h/mes en demo</t>
        </is>
      </c>
      <c r="C11" s="21" t="inlineStr">
        <is>
          <t>730 = 365×24/12, la convención de facturación. El escenario de demo supone encender ECS y RDS solo para ensayos: el almacenamiento, la EIP y los backups se pagan igual.</t>
        </is>
      </c>
    </row>
    <row r="12" ht="46" customHeight="1">
      <c r="A12" s="50" t="inlineStr">
        <is>
          <t>Descuento por compromiso</t>
        </is>
      </c>
      <c r="B12" s="21" t="inlineStr">
        <is>
          <t>35 %</t>
        </is>
      </c>
      <c r="C12" s="21" t="inlineStr">
        <is>
          <t>Rango habitual del prepago anual (30-40 %) en ECS y RDS. VERIFICAR en el calculador cambiando el modo de facturación a Yearly/Monthly, y ajustar el parámetro.</t>
        </is>
      </c>
    </row>
    <row r="13" ht="46" customHeight="1">
      <c r="A13" s="50" t="inlineStr">
        <is>
          <t>Impuestos</t>
        </is>
      </c>
      <c r="B13" s="21" t="inlineStr">
        <is>
          <t>0 %</t>
        </is>
      </c>
      <c r="C13" s="21" t="inlineStr">
        <is>
          <t>Se asume facturación directa con Huawei Cloud International. Si se contrata a través de un socio peruano, poner 18 % de IGV en 'Parámetros' y todo el libro lo recoge.</t>
        </is>
      </c>
    </row>
    <row r="14" ht="46" customHeight="1">
      <c r="A14" s="50" t="inlineStr">
        <is>
          <t>Coste del LLM</t>
        </is>
      </c>
      <c r="B14" s="21" t="inlineStr">
        <is>
          <t>US$ 0,21 por run premium</t>
        </is>
      </c>
      <c r="C14" s="21" t="inlineStr">
        <is>
          <t>DATO MEDIDO el 2026-08-02 y anotado en .env.example: entre 0,19 y 0,23 por run en frío, con tres de las cinco etapas sobre glm-5.2. Es el único bloque del presupuesto que no es estimación.</t>
        </is>
      </c>
    </row>
    <row r="15" ht="46" customHeight="1">
      <c r="A15" s="50" t="inlineStr">
        <is>
          <t>Ahorro por cache</t>
        </is>
      </c>
      <c r="B15" s="21" t="inlineStr">
        <is>
          <t>30 %</t>
        </is>
      </c>
      <c r="C15" s="21" t="inlineStr">
        <is>
          <t>El envoltorio etapa() cachea por (entrada, modelo, etapa, snapshot_version). En una demo con consultas repetidas el ahorro real es mayor; 30 % es conservador para uso mixto.</t>
        </is>
      </c>
    </row>
    <row r="16" ht="46" customHeight="1">
      <c r="A16" s="50" t="inlineStr">
        <is>
          <t>Lo que NO está incluido</t>
        </is>
      </c>
      <c r="B16" s="21" t="inlineStr">
        <is>
          <t>Dominio, desarrollo, soporte de pago</t>
        </is>
      </c>
      <c r="C16" s="21" t="inlineStr">
        <is>
          <t>El plan de soporte Basic de Huawei es gratuito. El registro del dominio, las horas de implantación y cualquier licencia de terceros van fuera de este presupuesto.</t>
        </is>
      </c>
    </row>
    <row r="17" ht="46" customHeight="1">
      <c r="A17" s="50" t="inlineStr">
        <is>
          <t>Escenario de producción</t>
        </is>
      </c>
      <c r="B17" s="21" t="inlineStr">
        <is>
          <t>Fase 2 del ADR-003, costeada línea por línea</t>
        </is>
      </c>
      <c r="C17" s="21" t="inlineStr">
        <is>
          <t>La hoja 'Produccion' NO usa un multiplicador: son 18 líneas con su cantidad y su precio. Supone 100-300 organizaciones, 2 réplicas de API con balanceador, RDS en alta disponibilidad, NAT Gateway para el agente de la fase F4, CDN y WAF. Las líneas de réplica de lectura y soporte de pago están con cantidad 0: se activan poniendo 1.</t>
        </is>
      </c>
    </row>
    <row r="18" ht="46" customHeight="1">
      <c r="A18" s="50" t="inlineStr">
        <is>
          <t>Discrepancia con el ADR-003</t>
        </is>
      </c>
      <c r="B18" s="21" t="inlineStr">
        <is>
          <t>El ADR estima US$ 200-400/mes; el detalle sale por encima</t>
        </is>
      </c>
      <c r="C18" s="21" t="inlineStr">
        <is>
          <t>Las tres líneas que el ADR no costeó son RDS en alta disponibilidad (duplica la base), WAF y NAT Gateway. Con las palancas de recorte de la hoja 'Produccion' se puede volver al rango del ADR, pero renunciando a cosas concretas. Conviene corregir la cifra del ADR antes de que el CITE la lea como compromiso.</t>
        </is>
      </c>
    </row>
    <row r="19" ht="46" customHeight="1">
      <c r="A19" s="50" t="inlineStr">
        <is>
          <t>Riesgo de subestimación</t>
        </is>
      </c>
      <c r="B19" s="21" t="inlineStr">
        <is>
          <t>Peticiones de OBS y logs de LTS</t>
        </is>
      </c>
      <c r="C19" s="21" t="inlineStr">
        <is>
          <t>Son las dos líneas con confianza BAJA. En volúmenes de demo son céntimos; con uso real conviene medir un mes antes de comprometer una cifra anual.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2026-08-03T17:02:48Z</dcterms:created>
  <dcterms:modified xsi:type="dcterms:W3CDTF">2026-08-03T17:02:48Z</dcterms:modified>
</cp:coreProperties>
</file>